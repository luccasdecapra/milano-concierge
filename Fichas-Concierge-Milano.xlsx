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onsulta" sheetId="2" state="visible" r:id="rId4"/>
    <sheet name="Listas" sheetId="3" state="hidden" r:id="rId5"/>
    <sheet name="Fichas" sheetId="4" state="visible" r:id="rId6"/>
    <sheet name="Progresso" sheetId="5" state="visible" r:id="rId7"/>
  </sheets>
  <definedNames>
    <definedName function="false" hidden="true" localSheetId="3" name="_xlnm._FilterDatabase" vbProcedure="false">Fichas!$A$1:$AE$260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<sst xmlns="http://schemas.openxmlformats.org/spreadsheetml/2006/main" count="1760" uniqueCount="735">
  <si>
    <t xml:space="preserve">Fichas Concierge Milano — planilha</t>
  </si>
  <si>
    <t xml:space="preserve">Legenda:  cinza = já preenchido e verificado  ·  amarelo = você preenche</t>
  </si>
  <si>
    <t xml:space="preserve">A PLANILHA E O APP</t>
  </si>
  <si>
    <t xml:space="preserve">As colunas desta planilha são exatamente as mesmas do app, na mesma ordem.</t>
  </si>
  <si>
    <t xml:space="preserve">No app: aba Exportar → Copiar tabela (CSV) → cole na aba Fichas a partir da célula A1.</t>
  </si>
  <si>
    <t xml:space="preserve">Use o app para preencher em campo. Use a planilha para guardar, filtrar e consultar no computador.</t>
  </si>
  <si>
    <t xml:space="preserve">O QUE MARCAR</t>
  </si>
  <si>
    <t xml:space="preserve">Quase tudo é lista suspensa. Três colunas aceitam vários valores separados por ponto e vírgula:</t>
  </si>
  <si>
    <t xml:space="preserve">Serve para · Faixa etária · Ocasião · Não indicar para · Pontos fracos.</t>
  </si>
  <si>
    <t xml:space="preserve">No app isso é um toque por opção. Aqui, escreva igual ao vocabulário (a consulta procura o texto).</t>
  </si>
  <si>
    <t xml:space="preserve">VOCABULÁRIO (escreva exatamente assim)</t>
  </si>
  <si>
    <t xml:space="preserve">Serve para</t>
  </si>
  <si>
    <t xml:space="preserve">Casal · Família com crianças · Solo · Grupo · Negócios</t>
  </si>
  <si>
    <t xml:space="preserve">Faixa etária</t>
  </si>
  <si>
    <t xml:space="preserve">18–30 · 30–50 · 50+ · Indiferente</t>
  </si>
  <si>
    <t xml:space="preserve">Ocasião</t>
  </si>
  <si>
    <t xml:space="preserve">Romântico · Celebração · Business · Cultural · Sem turistas · Instagram · Relax · Noite</t>
  </si>
  <si>
    <t xml:space="preserve">Pontos fracos</t>
  </si>
  <si>
    <t xml:space="preserve">Fila · Barulhento · Reserva difícil · Caro para o que entrega · Turístico demais ·</t>
  </si>
  <si>
    <t xml:space="preserve">Serviço lento · Sem opção vegetariana · Escada sem elevador · Fecha cedo · Mesa apertada</t>
  </si>
  <si>
    <t xml:space="preserve">A CONSULTA</t>
  </si>
  <si>
    <t xml:space="preserve">Pontos: ocasião +3 · serve para +3 · chuva +3 · faixa etária +2 · preço +2 · categoria +2 ·</t>
  </si>
  <si>
    <t xml:space="preserve">bairro +2 · sua nota +1 a +5. Elimina quem fecha no dia, quem está em 'Não indicar para',</t>
  </si>
  <si>
    <t xml:space="preserve">e — se você exigir — quem não estiver marcado como LGBTQIA+ friendly.</t>
  </si>
  <si>
    <t xml:space="preserve">Ela fica útil a partir de umas 30 fichas preenchidas.</t>
  </si>
  <si>
    <t xml:space="preserve">REGRA QUE NÃO MUDA</t>
  </si>
  <si>
    <t xml:space="preserve">Horários e telefones mudam. Antes de mandar um hóspede, confirme no dia.</t>
  </si>
  <si>
    <t xml:space="preserve">E não preencha ficha de lugar onde você não foi.</t>
  </si>
  <si>
    <t xml:space="preserve">Exemplo de linha preenchida</t>
  </si>
  <si>
    <t xml:space="preserve">Nota</t>
  </si>
  <si>
    <t xml:space="preserve">4</t>
  </si>
  <si>
    <t xml:space="preserve">Faixa</t>
  </si>
  <si>
    <t xml:space="preserve">€€</t>
  </si>
  <si>
    <t xml:space="preserve">Casal; Solo</t>
  </si>
  <si>
    <t xml:space="preserve">30–50; 50+</t>
  </si>
  <si>
    <t xml:space="preserve">Cultural; Romântico</t>
  </si>
  <si>
    <t xml:space="preserve">Ruído</t>
  </si>
  <si>
    <t xml:space="preserve">Silencioso</t>
  </si>
  <si>
    <t xml:space="preserve">Chuva</t>
  </si>
  <si>
    <t xml:space="preserve">Sim</t>
  </si>
  <si>
    <t xml:space="preserve">LGBTQIA+ friendly</t>
  </si>
  <si>
    <t xml:space="preserve">Ponto forte</t>
  </si>
  <si>
    <t xml:space="preserve">Sala do Mantegna vazia às 9h; Hayez no fim do percurso</t>
  </si>
  <si>
    <t xml:space="preserve">Plano B</t>
  </si>
  <si>
    <t xml:space="preserve">Ambrosiana, 8 min a pé</t>
  </si>
  <si>
    <t xml:space="preserve">Consulta A / B / C</t>
  </si>
  <si>
    <t xml:space="preserve">Preencha os campos amarelos. As três opções aparecem abaixo.</t>
  </si>
  <si>
    <t xml:space="preserve">Composição do grupo</t>
  </si>
  <si>
    <t xml:space="preserve">Qualquer</t>
  </si>
  <si>
    <t xml:space="preserve">Dia da semana</t>
  </si>
  <si>
    <t xml:space="preserve">Faixa de preço</t>
  </si>
  <si>
    <t xml:space="preserve">Está chovendo</t>
  </si>
  <si>
    <t xml:space="preserve">Não</t>
  </si>
  <si>
    <t xml:space="preserve">Categoria</t>
  </si>
  <si>
    <t xml:space="preserve">Bairro</t>
  </si>
  <si>
    <t xml:space="preserve">Precisa ser LGBTQIA+ friendly</t>
  </si>
  <si>
    <t xml:space="preserve">Só lugares que já visitei</t>
  </si>
  <si>
    <t xml:space="preserve">RESULTADO</t>
  </si>
  <si>
    <t xml:space="preserve">Lugar</t>
  </si>
  <si>
    <t xml:space="preserve">Fecha</t>
  </si>
  <si>
    <t xml:space="preserve">Transporte</t>
  </si>
  <si>
    <t xml:space="preserve">A — principal</t>
  </si>
  <si>
    <t xml:space="preserve">B — equivalente</t>
  </si>
  <si>
    <t xml:space="preserve">C — alternativa</t>
  </si>
  <si>
    <t xml:space="preserve">Se aparecer '—', não há ficha preenchida que atenda. Alargue os critérios ou preencha mais fichas.</t>
  </si>
  <si>
    <t xml:space="preserve">cat</t>
  </si>
  <si>
    <t xml:space="preserve">bairro</t>
  </si>
  <si>
    <t xml:space="preserve">fecha</t>
  </si>
  <si>
    <t xml:space="preserve">reserva</t>
  </si>
  <si>
    <t xml:space="preserve">simnao</t>
  </si>
  <si>
    <t xml:space="preserve">tri</t>
  </si>
  <si>
    <t xml:space="preserve">nota</t>
  </si>
  <si>
    <t xml:space="preserve">faixa</t>
  </si>
  <si>
    <t xml:space="preserve">ruido</t>
  </si>
  <si>
    <t xml:space="preserve">grupo</t>
  </si>
  <si>
    <t xml:space="preserve">espera</t>
  </si>
  <si>
    <t xml:space="preserve">ateTarde</t>
  </si>
  <si>
    <t xml:space="preserve">dias</t>
  </si>
  <si>
    <t xml:space="preserve">composicao</t>
  </si>
  <si>
    <t xml:space="preserve">idade</t>
  </si>
  <si>
    <t xml:space="preserve">ocasiao</t>
  </si>
  <si>
    <t xml:space="preserve">qComposicao</t>
  </si>
  <si>
    <t xml:space="preserve">qIdade</t>
  </si>
  <si>
    <t xml:space="preserve">qOcasiao</t>
  </si>
  <si>
    <t xml:space="preserve">qFaixa</t>
  </si>
  <si>
    <t xml:space="preserve">qCat</t>
  </si>
  <si>
    <t xml:space="preserve">qBairro</t>
  </si>
  <si>
    <t xml:space="preserve">qDia</t>
  </si>
  <si>
    <t xml:space="preserve">Museu</t>
  </si>
  <si>
    <t xml:space="preserve">5Vie</t>
  </si>
  <si>
    <t xml:space="preserve">Segunda</t>
  </si>
  <si>
    <t xml:space="preserve">Não precisa</t>
  </si>
  <si>
    <t xml:space="preserve">Gratuito</t>
  </si>
  <si>
    <t xml:space="preserve">até 2</t>
  </si>
  <si>
    <t xml:space="preserve">Entra direto</t>
  </si>
  <si>
    <t xml:space="preserve">Fecha 22h</t>
  </si>
  <si>
    <t xml:space="preserve">Casal</t>
  </si>
  <si>
    <t xml:space="preserve">18–30</t>
  </si>
  <si>
    <t xml:space="preserve">Romântico</t>
  </si>
  <si>
    <t xml:space="preserve">Igreja</t>
  </si>
  <si>
    <t xml:space="preserve">Bicocca</t>
  </si>
  <si>
    <t xml:space="preserve">Terça</t>
  </si>
  <si>
    <t xml:space="preserve">Recomendada</t>
  </si>
  <si>
    <t xml:space="preserve">€</t>
  </si>
  <si>
    <t xml:space="preserve">Conversa fácil</t>
  </si>
  <si>
    <t xml:space="preserve">até 4</t>
  </si>
  <si>
    <t xml:space="preserve">Até 15 min</t>
  </si>
  <si>
    <t xml:space="preserve">Fecha 23h</t>
  </si>
  <si>
    <t xml:space="preserve">Família com crianças</t>
  </si>
  <si>
    <t xml:space="preserve">30–50</t>
  </si>
  <si>
    <t xml:space="preserve">Celebração</t>
  </si>
  <si>
    <t xml:space="preserve">Monumento</t>
  </si>
  <si>
    <t xml:space="preserve">Brera</t>
  </si>
  <si>
    <t xml:space="preserve">Quarta</t>
  </si>
  <si>
    <t xml:space="preserve">Obrigatória</t>
  </si>
  <si>
    <t xml:space="preserve">Não sei</t>
  </si>
  <si>
    <t xml:space="preserve">Animado</t>
  </si>
  <si>
    <t xml:space="preserve">até 6</t>
  </si>
  <si>
    <t xml:space="preserve">Reservar antes</t>
  </si>
  <si>
    <t xml:space="preserve">Fecha 00h</t>
  </si>
  <si>
    <t xml:space="preserve">Solo</t>
  </si>
  <si>
    <t xml:space="preserve">50+</t>
  </si>
  <si>
    <t xml:space="preserve">Business</t>
  </si>
  <si>
    <t xml:space="preserve">Restaurante</t>
  </si>
  <si>
    <t xml:space="preserve">Castello</t>
  </si>
  <si>
    <t xml:space="preserve">Quinta</t>
  </si>
  <si>
    <t xml:space="preserve">Appointment</t>
  </si>
  <si>
    <t xml:space="preserve">€€€</t>
  </si>
  <si>
    <t xml:space="preserve">Alto</t>
  </si>
  <si>
    <t xml:space="preserve">até 10</t>
  </si>
  <si>
    <t xml:space="preserve">Lista de espera real</t>
  </si>
  <si>
    <t xml:space="preserve">Depois de 00h</t>
  </si>
  <si>
    <t xml:space="preserve">Grupo</t>
  </si>
  <si>
    <t xml:space="preserve">Indiferente</t>
  </si>
  <si>
    <t xml:space="preserve">Cultural</t>
  </si>
  <si>
    <t xml:space="preserve">Trattoria</t>
  </si>
  <si>
    <t xml:space="preserve">Centrale</t>
  </si>
  <si>
    <t xml:space="preserve">Sexta</t>
  </si>
  <si>
    <t xml:space="preserve">€€€€</t>
  </si>
  <si>
    <t xml:space="preserve">mais de 10</t>
  </si>
  <si>
    <t xml:space="preserve">Não se aplica</t>
  </si>
  <si>
    <t xml:space="preserve">Negócios</t>
  </si>
  <si>
    <t xml:space="preserve">Sem turistas</t>
  </si>
  <si>
    <t xml:space="preserve">Alta gastronomia</t>
  </si>
  <si>
    <t xml:space="preserve">Centro</t>
  </si>
  <si>
    <t xml:space="preserve">Sábado</t>
  </si>
  <si>
    <t xml:space="preserve">Instagram</t>
  </si>
  <si>
    <t xml:space="preserve">Bar/Cocktail</t>
  </si>
  <si>
    <t xml:space="preserve">Chiaravalle</t>
  </si>
  <si>
    <t xml:space="preserve">Domingo</t>
  </si>
  <si>
    <t xml:space="preserve">Relax</t>
  </si>
  <si>
    <t xml:space="preserve">Aperitivo</t>
  </si>
  <si>
    <t xml:space="preserve">CityLife</t>
  </si>
  <si>
    <t xml:space="preserve">Seg e ter</t>
  </si>
  <si>
    <t xml:space="preserve">Noite</t>
  </si>
  <si>
    <t xml:space="preserve">Café/Pasticceria</t>
  </si>
  <si>
    <t xml:space="preserve">Corso Vercelli/Pagano</t>
  </si>
  <si>
    <t xml:space="preserve">Nunca</t>
  </si>
  <si>
    <t xml:space="preserve">Rooftop</t>
  </si>
  <si>
    <t xml:space="preserve">Duomo</t>
  </si>
  <si>
    <t xml:space="preserve">Variável</t>
  </si>
  <si>
    <t xml:space="preserve">Hotel</t>
  </si>
  <si>
    <t xml:space="preserve">Fora de Milão</t>
  </si>
  <si>
    <t xml:space="preserve">Loja/Moda</t>
  </si>
  <si>
    <t xml:space="preserve">Isola</t>
  </si>
  <si>
    <t xml:space="preserve">Mercado</t>
  </si>
  <si>
    <t xml:space="preserve">Navigli</t>
  </si>
  <si>
    <t xml:space="preserve">Parque</t>
  </si>
  <si>
    <t xml:space="preserve">Ovest (Soderini/San Gimignano)</t>
  </si>
  <si>
    <t xml:space="preserve">Experiência</t>
  </si>
  <si>
    <t xml:space="preserve">Porta Nuova</t>
  </si>
  <si>
    <t xml:space="preserve">Serviço</t>
  </si>
  <si>
    <t xml:space="preserve">Porta Romana</t>
  </si>
  <si>
    <t xml:space="preserve">Day trip</t>
  </si>
  <si>
    <t xml:space="preserve">Porta Venezia</t>
  </si>
  <si>
    <t xml:space="preserve">Portello</t>
  </si>
  <si>
    <t xml:space="preserve">QT8</t>
  </si>
  <si>
    <t xml:space="preserve">Quadrilatero</t>
  </si>
  <si>
    <t xml:space="preserve">Repubblica</t>
  </si>
  <si>
    <t xml:space="preserve">San Siro</t>
  </si>
  <si>
    <t xml:space="preserve">Sant'Ambrogio</t>
  </si>
  <si>
    <t xml:space="preserve">Sarpi/Monumentale</t>
  </si>
  <si>
    <t xml:space="preserve">Ticinese</t>
  </si>
  <si>
    <t xml:space="preserve">Tortona</t>
  </si>
  <si>
    <t xml:space="preserve">Semana</t>
  </si>
  <si>
    <t xml:space="preserve">Nome</t>
  </si>
  <si>
    <t xml:space="preserve">Endereço</t>
  </si>
  <si>
    <t xml:space="preserve">Telefone</t>
  </si>
  <si>
    <t xml:space="preserve">Site</t>
  </si>
  <si>
    <t xml:space="preserve">Horário</t>
  </si>
  <si>
    <t xml:space="preserve">Reserva</t>
  </si>
  <si>
    <t xml:space="preserve">Visitado</t>
  </si>
  <si>
    <t xml:space="preserve">Data</t>
  </si>
  <si>
    <t xml:space="preserve">Acessível</t>
  </si>
  <si>
    <t xml:space="preserve">Cães</t>
  </si>
  <si>
    <t xml:space="preserve">Espera</t>
  </si>
  <si>
    <t xml:space="preserve">Até tarde</t>
  </si>
  <si>
    <t xml:space="preserve">Não indicar para</t>
  </si>
  <si>
    <t xml:space="preserve">Descrição</t>
  </si>
  <si>
    <t xml:space="preserve">Pontuação</t>
  </si>
  <si>
    <t xml:space="preserve">Duomo di Milano — Catedral</t>
  </si>
  <si>
    <t xml:space="preserve">Piazza del Duomo</t>
  </si>
  <si>
    <t xml:space="preserve">duomomilano.it</t>
  </si>
  <si>
    <t xml:space="preserve">~9:00–19:00 (varia)</t>
  </si>
  <si>
    <t xml:space="preserve">M1/M3 Duomo</t>
  </si>
  <si>
    <t xml:space="preserve">Duomo — Terrazze (terraços)</t>
  </si>
  <si>
    <t xml:space="preserve">~9:00–19:00</t>
  </si>
  <si>
    <t xml:space="preserve">Museo del Duomo</t>
  </si>
  <si>
    <t xml:space="preserve">Piazza del Duomo 12</t>
  </si>
  <si>
    <t xml:space="preserve">10:00–19:00</t>
  </si>
  <si>
    <t xml:space="preserve">Galleria Vittorio Emanuele II</t>
  </si>
  <si>
    <t xml:space="preserve">Sempre aberta</t>
  </si>
  <si>
    <t xml:space="preserve">Teatro alla Scala — Museo Teatrale</t>
  </si>
  <si>
    <t xml:space="preserve">Largo Ghiringhelli 1</t>
  </si>
  <si>
    <t xml:space="preserve">teatroallascala.org</t>
  </si>
  <si>
    <t xml:space="preserve">9:30–17:30 (últ. 17:00)</t>
  </si>
  <si>
    <t xml:space="preserve">M1 Cordusio / M3 Montenapoleone</t>
  </si>
  <si>
    <t xml:space="preserve">Museo del Novecento</t>
  </si>
  <si>
    <t xml:space="preserve">Via Marconi 1 (Arengario)</t>
  </si>
  <si>
    <t xml:space="preserve">museodelnovecento.org</t>
  </si>
  <si>
    <t xml:space="preserve">10:00–19:30; qui até 22:30</t>
  </si>
  <si>
    <t xml:space="preserve">Palazzo Reale</t>
  </si>
  <si>
    <t xml:space="preserve">Varia por exposição</t>
  </si>
  <si>
    <t xml:space="preserve">Gallerie d'Italia</t>
  </si>
  <si>
    <t xml:space="preserve">Piazza della Scala 6</t>
  </si>
  <si>
    <t xml:space="preserve">gallerieditalia.com</t>
  </si>
  <si>
    <t xml:space="preserve">M1 Cordusio</t>
  </si>
  <si>
    <t xml:space="preserve">Camparino in Galleria</t>
  </si>
  <si>
    <t xml:space="preserve">Piazza del Duomo 21</t>
  </si>
  <si>
    <t xml:space="preserve">+39 02 8646 4435</t>
  </si>
  <si>
    <t xml:space="preserve">camparino.com</t>
  </si>
  <si>
    <t xml:space="preserve">Bar di Passo até ~23h</t>
  </si>
  <si>
    <t xml:space="preserve">Marchesi 1824</t>
  </si>
  <si>
    <t xml:space="preserve">+39 02 9418 1710</t>
  </si>
  <si>
    <t xml:space="preserve">marchesi1824.com</t>
  </si>
  <si>
    <t xml:space="preserve">Cracco</t>
  </si>
  <si>
    <t xml:space="preserve">+39 02 876774</t>
  </si>
  <si>
    <t xml:space="preserve">ristorantecracco.it</t>
  </si>
  <si>
    <t xml:space="preserve">La Rinascente + terraço</t>
  </si>
  <si>
    <t xml:space="preserve">rinascente.it</t>
  </si>
  <si>
    <t xml:space="preserve">Piazza dei Mercanti</t>
  </si>
  <si>
    <t xml:space="preserve">Park Hyatt — La Cupola / Mio Lab</t>
  </si>
  <si>
    <t xml:space="preserve">Via Tommaso Grossi 1</t>
  </si>
  <si>
    <t xml:space="preserve">+39 02 8821 1234</t>
  </si>
  <si>
    <t xml:space="preserve">hyatt.com</t>
  </si>
  <si>
    <t xml:space="preserve">Peck</t>
  </si>
  <si>
    <t xml:space="preserve">Via Spadari 9</t>
  </si>
  <si>
    <t xml:space="preserve">peck.it</t>
  </si>
  <si>
    <t xml:space="preserve">Pinacoteca di Brera</t>
  </si>
  <si>
    <t xml:space="preserve">Via Brera 28</t>
  </si>
  <si>
    <t xml:space="preserve">pinacotecabrera.org</t>
  </si>
  <si>
    <t xml:space="preserve">Ter–dom 8:30–19:15 (últ. 18:00)</t>
  </si>
  <si>
    <t xml:space="preserve">M2 Lanza / M3 Montenapoleone</t>
  </si>
  <si>
    <t xml:space="preserve">Palazzo Citterio (Brera Modern)</t>
  </si>
  <si>
    <t xml:space="preserve">Via Brera 14</t>
  </si>
  <si>
    <t xml:space="preserve">M2 Lanza</t>
  </si>
  <si>
    <t xml:space="preserve">Orto Botanico di Brera</t>
  </si>
  <si>
    <t xml:space="preserve">Museo Poldi Pezzoli</t>
  </si>
  <si>
    <t xml:space="preserve">Via Manzoni 12</t>
  </si>
  <si>
    <t xml:space="preserve">museopoldipezzoli.it</t>
  </si>
  <si>
    <t xml:space="preserve">Seg e qua–dom 10:00–18:00</t>
  </si>
  <si>
    <t xml:space="preserve">M3 Montenapoleone</t>
  </si>
  <si>
    <t xml:space="preserve">Casa Brera — rooftop Etereo</t>
  </si>
  <si>
    <t xml:space="preserve">Piazzetta M. Bossi 2</t>
  </si>
  <si>
    <t xml:space="preserve">+39 02 305430</t>
  </si>
  <si>
    <t xml:space="preserve">marriott.com</t>
  </si>
  <si>
    <t xml:space="preserve">Bar 17:00–01:00</t>
  </si>
  <si>
    <t xml:space="preserve">M1 Cairoli / M3 Montenapoleone</t>
  </si>
  <si>
    <t xml:space="preserve">Bulgari Hotel — Bar e jardim</t>
  </si>
  <si>
    <t xml:space="preserve">Via Privata Fratelli Gabba 7/b</t>
  </si>
  <si>
    <t xml:space="preserve">+39 02 805 8051</t>
  </si>
  <si>
    <t xml:space="preserve">bulgarihotels.com</t>
  </si>
  <si>
    <t xml:space="preserve">Mandarin Oriental — Seta / bar</t>
  </si>
  <si>
    <t xml:space="preserve">Via Andegari 9</t>
  </si>
  <si>
    <t xml:space="preserve">+39 02 8731 8888</t>
  </si>
  <si>
    <t xml:space="preserve">mandarinoriental.com</t>
  </si>
  <si>
    <t xml:space="preserve">Via Fiori Chiari / Via Madonnina</t>
  </si>
  <si>
    <t xml:space="preserve">Mercato antiquariato di Brera</t>
  </si>
  <si>
    <t xml:space="preserve">Via Fiori Chiari</t>
  </si>
  <si>
    <t xml:space="preserve">3º domingo do mês (confirmar)</t>
  </si>
  <si>
    <t xml:space="preserve">Grand Hotel et de Milan</t>
  </si>
  <si>
    <t xml:space="preserve">Via Manzoni 29</t>
  </si>
  <si>
    <t xml:space="preserve">grandhoteletdemilan.it</t>
  </si>
  <si>
    <t xml:space="preserve">Cenacolo Vinciano (A Última Ceia)</t>
  </si>
  <si>
    <t xml:space="preserve">Piazza Santa Maria delle Grazie 2</t>
  </si>
  <si>
    <t xml:space="preserve">+39 02 9280 0360</t>
  </si>
  <si>
    <t xml:space="preserve">cenacolovinciano.org</t>
  </si>
  <si>
    <t xml:space="preserve">Ter–dom 8:15–19:00 (últ. 18:45)</t>
  </si>
  <si>
    <t xml:space="preserve">M1 Conciliazione / M2 Sant'Ambrogio</t>
  </si>
  <si>
    <t xml:space="preserve">Santa Maria delle Grazie (igreja)</t>
  </si>
  <si>
    <t xml:space="preserve">Piazza Santa Maria delle Grazie</t>
  </si>
  <si>
    <t xml:space="preserve">M1 Conciliazione</t>
  </si>
  <si>
    <t xml:space="preserve">Pinacoteca Ambrosiana + Codex Atlanticus</t>
  </si>
  <si>
    <t xml:space="preserve">Piazza Pio XI 2</t>
  </si>
  <si>
    <t xml:space="preserve">ambrosiana.it</t>
  </si>
  <si>
    <t xml:space="preserve">10:00–18:00</t>
  </si>
  <si>
    <t xml:space="preserve">Cripta di San Sepolcro</t>
  </si>
  <si>
    <t xml:space="preserve">Piazza San Sepolcro</t>
  </si>
  <si>
    <t xml:space="preserve">Castello Sforzesco — Sala delle Asse e Pietà Rondanini</t>
  </si>
  <si>
    <t xml:space="preserve">Piazza Castello</t>
  </si>
  <si>
    <t xml:space="preserve">comune.milano.it</t>
  </si>
  <si>
    <t xml:space="preserve">Museus ter–dom 10:00–17:30; pátios 7:00–19:30</t>
  </si>
  <si>
    <t xml:space="preserve">M1 Cairoli / M2 Lanza</t>
  </si>
  <si>
    <t xml:space="preserve">Museo Naz. della Scienza e della Tecnologia Leonardo da Vinci</t>
  </si>
  <si>
    <t xml:space="preserve">Via San Vittore 21</t>
  </si>
  <si>
    <t xml:space="preserve">museoscienza.org</t>
  </si>
  <si>
    <t xml:space="preserve">M2 Sant'Ambrogio</t>
  </si>
  <si>
    <t xml:space="preserve">San Maurizio al Monastero Maggiore</t>
  </si>
  <si>
    <t xml:space="preserve">Corso Magenta 15</t>
  </si>
  <si>
    <t xml:space="preserve">M1 Cadorna</t>
  </si>
  <si>
    <t xml:space="preserve">Museo Archeologico</t>
  </si>
  <si>
    <t xml:space="preserve">Santa Maria presso San Satiro (falso coro de Bramante)</t>
  </si>
  <si>
    <t xml:space="preserve">Via Torino 9</t>
  </si>
  <si>
    <t xml:space="preserve">San Bernardino alle Ossa (ossário)</t>
  </si>
  <si>
    <t xml:space="preserve">Piazza Santo Stefano</t>
  </si>
  <si>
    <t xml:space="preserve">M1 San Babila</t>
  </si>
  <si>
    <t xml:space="preserve">Casa degli Omenoni</t>
  </si>
  <si>
    <t xml:space="preserve">Via Omenoni</t>
  </si>
  <si>
    <t xml:space="preserve">Só exterior</t>
  </si>
  <si>
    <t xml:space="preserve">Via Lincoln (a 'Burano' milanesa)</t>
  </si>
  <si>
    <t xml:space="preserve">Via Lincoln</t>
  </si>
  <si>
    <t xml:space="preserve">M1 Porta Venezia</t>
  </si>
  <si>
    <t xml:space="preserve">Villa Invernizzi (flamingos)</t>
  </si>
  <si>
    <t xml:space="preserve">Via Cappuccini 7</t>
  </si>
  <si>
    <t xml:space="preserve">Jardim privado, vista da rua</t>
  </si>
  <si>
    <t xml:space="preserve">M1 Palestro</t>
  </si>
  <si>
    <t xml:space="preserve">Casa 770</t>
  </si>
  <si>
    <t xml:space="preserve">Via Poerio 35</t>
  </si>
  <si>
    <t xml:space="preserve">Cimitero Monumentale</t>
  </si>
  <si>
    <t xml:space="preserve">Piazzale Cimitero Monumentale</t>
  </si>
  <si>
    <t xml:space="preserve">M5 Monumentale</t>
  </si>
  <si>
    <t xml:space="preserve">5Vie — pátios e antiquários</t>
  </si>
  <si>
    <t xml:space="preserve">Zona 5Vie</t>
  </si>
  <si>
    <t xml:space="preserve">5vie.it</t>
  </si>
  <si>
    <t xml:space="preserve">Ca' Granda (Università Statale)</t>
  </si>
  <si>
    <t xml:space="preserve">Via Festa del Perdono 7</t>
  </si>
  <si>
    <t xml:space="preserve">Pátios</t>
  </si>
  <si>
    <t xml:space="preserve">M3 Missori</t>
  </si>
  <si>
    <t xml:space="preserve">Giardini della Guastalla</t>
  </si>
  <si>
    <t xml:space="preserve">Via Francesco Sforza</t>
  </si>
  <si>
    <t xml:space="preserve">M4 Sforza-Policlinico</t>
  </si>
  <si>
    <t xml:space="preserve">Abbazia di Chiaravalle</t>
  </si>
  <si>
    <t xml:space="preserve">Via Sant'Arialdo 102</t>
  </si>
  <si>
    <t xml:space="preserve">Fora do centro</t>
  </si>
  <si>
    <t xml:space="preserve">Ônibus / carro</t>
  </si>
  <si>
    <t xml:space="preserve">Santa Maria alla Fontana</t>
  </si>
  <si>
    <t xml:space="preserve">Piazza Santa Maria alla Fontana</t>
  </si>
  <si>
    <t xml:space="preserve">M5 Zara</t>
  </si>
  <si>
    <t xml:space="preserve">Via Montenapoleone</t>
  </si>
  <si>
    <t xml:space="preserve">Via Monte Napoleone</t>
  </si>
  <si>
    <t xml:space="preserve">Lojas ~10:00–19:30</t>
  </si>
  <si>
    <t xml:space="preserve">Via della Spiga</t>
  </si>
  <si>
    <t xml:space="preserve">Via Sant'Andrea</t>
  </si>
  <si>
    <t xml:space="preserve">Palazzo Morando (moda e costume)</t>
  </si>
  <si>
    <t xml:space="preserve">Via Sant'Andrea 6</t>
  </si>
  <si>
    <t xml:space="preserve">Museo Bagatti Valsecchi</t>
  </si>
  <si>
    <t xml:space="preserve">Via Gesù 5</t>
  </si>
  <si>
    <t xml:space="preserve">museobagattivalsecchi.org</t>
  </si>
  <si>
    <t xml:space="preserve">Four Seasons Hotel Milano — lobby e Zelo</t>
  </si>
  <si>
    <t xml:space="preserve">Via Gesù 6/8</t>
  </si>
  <si>
    <t xml:space="preserve">+39 02 77088</t>
  </si>
  <si>
    <t xml:space="preserve">fourseasons.com/milan</t>
  </si>
  <si>
    <t xml:space="preserve">Armani Hotel — Armani/Bamboo Bar</t>
  </si>
  <si>
    <t xml:space="preserve">Via Manzoni 31</t>
  </si>
  <si>
    <t xml:space="preserve">armanihotels.com</t>
  </si>
  <si>
    <t xml:space="preserve">Portrait Milano + Piazza del Quadrilatero</t>
  </si>
  <si>
    <t xml:space="preserve">Corso Venezia 11</t>
  </si>
  <si>
    <t xml:space="preserve">+39 02 3679 95800</t>
  </si>
  <si>
    <t xml:space="preserve">lungarnocollection.com</t>
  </si>
  <si>
    <t xml:space="preserve">10_11 07:00–01:00</t>
  </si>
  <si>
    <t xml:space="preserve">Cova Montenapoleone</t>
  </si>
  <si>
    <t xml:space="preserve">Via Monte Napoleone 8</t>
  </si>
  <si>
    <t xml:space="preserve">+39 02 7600 5599</t>
  </si>
  <si>
    <t xml:space="preserve">pasticceriacova.com</t>
  </si>
  <si>
    <t xml:space="preserve">Corso Vercelli</t>
  </si>
  <si>
    <t xml:space="preserve">Triennale Milano</t>
  </si>
  <si>
    <t xml:space="preserve">Viale Alemagna 6</t>
  </si>
  <si>
    <t xml:space="preserve">triennale.org</t>
  </si>
  <si>
    <t xml:space="preserve">Ter–dom 10:30–20:00</t>
  </si>
  <si>
    <t xml:space="preserve">M1/M2 Cadorna</t>
  </si>
  <si>
    <t xml:space="preserve">ADI Design Museum (Compasso d'Oro)</t>
  </si>
  <si>
    <t xml:space="preserve">Piazza Compasso d'Oro 1</t>
  </si>
  <si>
    <t xml:space="preserve">adidesignmuseum.org</t>
  </si>
  <si>
    <t xml:space="preserve">MUDEC — Museo delle Culture</t>
  </si>
  <si>
    <t xml:space="preserve">Via Tortona 56</t>
  </si>
  <si>
    <t xml:space="preserve">mudec.it</t>
  </si>
  <si>
    <t xml:space="preserve">10:00–19:30 (ter/qua/sex/sáb/dom); qui até 22:30</t>
  </si>
  <si>
    <t xml:space="preserve">M2 Porta Genova</t>
  </si>
  <si>
    <t xml:space="preserve">Enrico Bartolini al MUDEC (3 estrelas)</t>
  </si>
  <si>
    <t xml:space="preserve">enricobartolini.net</t>
  </si>
  <si>
    <t xml:space="preserve">Armani/Silos</t>
  </si>
  <si>
    <t xml:space="preserve">Via Bergognone 40</t>
  </si>
  <si>
    <t xml:space="preserve">armanisilos.com</t>
  </si>
  <si>
    <t xml:space="preserve">Qua/sex/dom 11:00–19:00; qui/sáb 11:00–21:00</t>
  </si>
  <si>
    <t xml:space="preserve">Via Tortona / Via Bergognone (distrito de design)</t>
  </si>
  <si>
    <t xml:space="preserve">Via Tortona</t>
  </si>
  <si>
    <t xml:space="preserve">Torre Branca</t>
  </si>
  <si>
    <t xml:space="preserve">Viale Camoens (Parco Sempione)</t>
  </si>
  <si>
    <t xml:space="preserve">Horário variável</t>
  </si>
  <si>
    <t xml:space="preserve">Parco Sempione e Arco della Pace</t>
  </si>
  <si>
    <t xml:space="preserve">Parco Sempione</t>
  </si>
  <si>
    <t xml:space="preserve">M1 Cairoli</t>
  </si>
  <si>
    <t xml:space="preserve">Villa Necchi Campiglio (FAI)</t>
  </si>
  <si>
    <t xml:space="preserve">Via Mozart 14</t>
  </si>
  <si>
    <t xml:space="preserve">fondoambiente.it</t>
  </si>
  <si>
    <t xml:space="preserve">Casa Galimberti (Liberty)</t>
  </si>
  <si>
    <t xml:space="preserve">Via Malpighi 3</t>
  </si>
  <si>
    <t xml:space="preserve">Palazzo Castiglioni (Liberty)</t>
  </si>
  <si>
    <t xml:space="preserve">Corso Venezia 47</t>
  </si>
  <si>
    <t xml:space="preserve">Giardini Indro Montanelli</t>
  </si>
  <si>
    <t xml:space="preserve">Corso Venezia</t>
  </si>
  <si>
    <t xml:space="preserve">Museo di Storia Naturale</t>
  </si>
  <si>
    <t xml:space="preserve">Corso Venezia 55</t>
  </si>
  <si>
    <t xml:space="preserve">Civico Planetario</t>
  </si>
  <si>
    <t xml:space="preserve">Corso Venezia 57</t>
  </si>
  <si>
    <t xml:space="preserve">Sessões com horário</t>
  </si>
  <si>
    <t xml:space="preserve">Fondazione Luigi Rovati</t>
  </si>
  <si>
    <t xml:space="preserve">Corso Venezia 52</t>
  </si>
  <si>
    <t xml:space="preserve">fondazioneluigirovati.org</t>
  </si>
  <si>
    <t xml:space="preserve">Andrea Aprea (2 estrelas)</t>
  </si>
  <si>
    <t xml:space="preserve">andreaaprea.com</t>
  </si>
  <si>
    <t xml:space="preserve">Bar Basso</t>
  </si>
  <si>
    <t xml:space="preserve">Via Plinio 39</t>
  </si>
  <si>
    <t xml:space="preserve">+39 02 2940 0580</t>
  </si>
  <si>
    <t xml:space="preserve">barbasso.com</t>
  </si>
  <si>
    <t xml:space="preserve">M1 Lima</t>
  </si>
  <si>
    <t xml:space="preserve">Nottingham Forest</t>
  </si>
  <si>
    <t xml:space="preserve">Viale Piave 1</t>
  </si>
  <si>
    <t xml:space="preserve">nottingham-forest.com</t>
  </si>
  <si>
    <t xml:space="preserve">Orsonero Coffee</t>
  </si>
  <si>
    <t xml:space="preserve">Via Giuseppe Broggi 15</t>
  </si>
  <si>
    <t xml:space="preserve">+39 353 478 9474</t>
  </si>
  <si>
    <t xml:space="preserve">orsonerocoffee.it</t>
  </si>
  <si>
    <t xml:space="preserve">Joia (alta cozinha vegetariana)</t>
  </si>
  <si>
    <t xml:space="preserve">Via Panfilo Castaldi 18</t>
  </si>
  <si>
    <t xml:space="preserve">+39 02 204 9244</t>
  </si>
  <si>
    <t xml:space="preserve">joia.it</t>
  </si>
  <si>
    <t xml:space="preserve">Fondazione Prada</t>
  </si>
  <si>
    <t xml:space="preserve">Largo Isarco 2</t>
  </si>
  <si>
    <t xml:space="preserve">fondazioneprada.org</t>
  </si>
  <si>
    <t xml:space="preserve">~10:00–19:00</t>
  </si>
  <si>
    <t xml:space="preserve">M3 Lodi T.I.B.B.</t>
  </si>
  <si>
    <t xml:space="preserve">Bar Luce (Fondazione Prada)</t>
  </si>
  <si>
    <t xml:space="preserve">Trattoria Trippa</t>
  </si>
  <si>
    <t xml:space="preserve">Via Giorgio Vasari 1</t>
  </si>
  <si>
    <t xml:space="preserve">+39 327 668 7908</t>
  </si>
  <si>
    <t xml:space="preserve">trippamilano.it</t>
  </si>
  <si>
    <t xml:space="preserve">M3 Porta Romana</t>
  </si>
  <si>
    <t xml:space="preserve">Basilica di San Lorenzo + Colonne</t>
  </si>
  <si>
    <t xml:space="preserve">Corso di Porta Ticinese 35</t>
  </si>
  <si>
    <t xml:space="preserve">Bonde 3</t>
  </si>
  <si>
    <t xml:space="preserve">Sant'Eustorgio + Cappella Portinari</t>
  </si>
  <si>
    <t xml:space="preserve">Piazza Sant'Eustorgio 1</t>
  </si>
  <si>
    <t xml:space="preserve">Museo Diocesano Carlo Maria Martini</t>
  </si>
  <si>
    <t xml:space="preserve">Corso di Porta Ticinese 95</t>
  </si>
  <si>
    <t xml:space="preserve">chiostrisanteustorgio.it</t>
  </si>
  <si>
    <t xml:space="preserve">Parco delle Basiliche</t>
  </si>
  <si>
    <t xml:space="preserve">Via Molino delle Armi</t>
  </si>
  <si>
    <t xml:space="preserve">Corso di Porta Romana (passeio)</t>
  </si>
  <si>
    <t xml:space="preserve">Corso di Porta Romana</t>
  </si>
  <si>
    <t xml:space="preserve">M3 Crocetta</t>
  </si>
  <si>
    <t xml:space="preserve">Basilica di Sant'Ambrogio</t>
  </si>
  <si>
    <t xml:space="preserve">Piazza Sant'Ambrogio 15</t>
  </si>
  <si>
    <t xml:space="preserve">basilicasantambrogio.it</t>
  </si>
  <si>
    <t xml:space="preserve">Piazza Gae Aulenti</t>
  </si>
  <si>
    <t xml:space="preserve">M2/M5 Garibaldi</t>
  </si>
  <si>
    <t xml:space="preserve">Bosco Verticale</t>
  </si>
  <si>
    <t xml:space="preserve">Via Gaetano de Castillia</t>
  </si>
  <si>
    <t xml:space="preserve">M5 Isola</t>
  </si>
  <si>
    <t xml:space="preserve">BAM — Biblioteca degli Alberi</t>
  </si>
  <si>
    <t xml:space="preserve">bam.milano.it</t>
  </si>
  <si>
    <t xml:space="preserve">Corso Como</t>
  </si>
  <si>
    <t xml:space="preserve">Ristorante Ratanà</t>
  </si>
  <si>
    <t xml:space="preserve">Via Gaetano de Castillia 28</t>
  </si>
  <si>
    <t xml:space="preserve">+39 02 8712 8855</t>
  </si>
  <si>
    <t xml:space="preserve">ratana.it</t>
  </si>
  <si>
    <t xml:space="preserve">Isola (passeio de bairro)</t>
  </si>
  <si>
    <t xml:space="preserve">Pirelli HangarBicocca</t>
  </si>
  <si>
    <t xml:space="preserve">Via Chiese 2</t>
  </si>
  <si>
    <t xml:space="preserve">pirellihangarbicocca.org</t>
  </si>
  <si>
    <t xml:space="preserve">Entrada gratuita (confirmar)</t>
  </si>
  <si>
    <t xml:space="preserve">M5 Ponale</t>
  </si>
  <si>
    <t xml:space="preserve">Stazione Centrale + Memoriale della Shoah (Binario 21)</t>
  </si>
  <si>
    <t xml:space="preserve">Piazza Duca d'Aosta / Via Ferrante Aporti 3</t>
  </si>
  <si>
    <t xml:space="preserve">memorialeshoah.it</t>
  </si>
  <si>
    <t xml:space="preserve">M2/M3 Centrale</t>
  </si>
  <si>
    <t xml:space="preserve">Excelsior Hotel Gallia — rooftop</t>
  </si>
  <si>
    <t xml:space="preserve">Piazza Duca d'Aosta 9</t>
  </si>
  <si>
    <t xml:space="preserve">+39 02 67851</t>
  </si>
  <si>
    <t xml:space="preserve">Torre Pirelli (exterior)</t>
  </si>
  <si>
    <t xml:space="preserve">Via Fabio Filzi 22</t>
  </si>
  <si>
    <t xml:space="preserve">Naviglio Grande</t>
  </si>
  <si>
    <t xml:space="preserve">Alzaia Naviglio Grande</t>
  </si>
  <si>
    <t xml:space="preserve">Darsena</t>
  </si>
  <si>
    <t xml:space="preserve">Vicolo dei Lavandai</t>
  </si>
  <si>
    <t xml:space="preserve">Ponte delle Gabelle</t>
  </si>
  <si>
    <t xml:space="preserve">Via San Marco</t>
  </si>
  <si>
    <t xml:space="preserve">M2 Moscova</t>
  </si>
  <si>
    <t xml:space="preserve">Rita Cocktails</t>
  </si>
  <si>
    <t xml:space="preserve">Via Angelo Fumagalli 1</t>
  </si>
  <si>
    <t xml:space="preserve">+39 02 837 2865</t>
  </si>
  <si>
    <t xml:space="preserve">ritacocktails.com</t>
  </si>
  <si>
    <t xml:space="preserve">Mercatone dell'Antiquariato</t>
  </si>
  <si>
    <t xml:space="preserve">Último domingo do mês</t>
  </si>
  <si>
    <t xml:space="preserve">Mercato Comunale di Porta Genova</t>
  </si>
  <si>
    <t xml:space="preserve">Piazza Sant'Agostino</t>
  </si>
  <si>
    <t xml:space="preserve">Alzaia Naviglio Pavese</t>
  </si>
  <si>
    <t xml:space="preserve">CityLife Shopping District</t>
  </si>
  <si>
    <t xml:space="preserve">Piazza Tre Torri</t>
  </si>
  <si>
    <t xml:space="preserve">citylifeshoppingdistrict.it</t>
  </si>
  <si>
    <t xml:space="preserve">M5 Tre Torri</t>
  </si>
  <si>
    <t xml:space="preserve">Le Tre Torri (Isozaki, Hadid, Libeskind)</t>
  </si>
  <si>
    <t xml:space="preserve">Parco CityLife</t>
  </si>
  <si>
    <t xml:space="preserve">Stadio Giuseppe Meazza (San Siro) + museu</t>
  </si>
  <si>
    <t xml:space="preserve">Piazzale Angelo Moratti</t>
  </si>
  <si>
    <t xml:space="preserve">Museu com horário próprio</t>
  </si>
  <si>
    <t xml:space="preserve">M5 San Siro Stadio</t>
  </si>
  <si>
    <t xml:space="preserve">Casa Milan</t>
  </si>
  <si>
    <t xml:space="preserve">Via Aldo Rossi 8</t>
  </si>
  <si>
    <t xml:space="preserve">acmilan.com</t>
  </si>
  <si>
    <t xml:space="preserve">M5 Portello</t>
  </si>
  <si>
    <t xml:space="preserve">Monte Stella</t>
  </si>
  <si>
    <t xml:space="preserve">Parco Monte Stella</t>
  </si>
  <si>
    <t xml:space="preserve">M1 QT8</t>
  </si>
  <si>
    <t xml:space="preserve">Pagano / Corso Vercelli (passeio local)</t>
  </si>
  <si>
    <t xml:space="preserve">M1 Pagano</t>
  </si>
  <si>
    <t xml:space="preserve">Hotel Principe di Savoia</t>
  </si>
  <si>
    <t xml:space="preserve">Piazza della Repubblica 17</t>
  </si>
  <si>
    <t xml:space="preserve">dorchestercollection.com</t>
  </si>
  <si>
    <t xml:space="preserve">M3 Repubblica</t>
  </si>
  <si>
    <t xml:space="preserve">Palazzo Parigi Hotel &amp; Grand Spa</t>
  </si>
  <si>
    <t xml:space="preserve">Corso di Porta Nuova 1</t>
  </si>
  <si>
    <t xml:space="preserve">palazzoparigi.com</t>
  </si>
  <si>
    <t xml:space="preserve">M3 Turati</t>
  </si>
  <si>
    <t xml:space="preserve">Château Monfort</t>
  </si>
  <si>
    <t xml:space="preserve">Corso Concordia 1</t>
  </si>
  <si>
    <t xml:space="preserve">hotelchateaumonfort.com</t>
  </si>
  <si>
    <t xml:space="preserve">M4 Tricolore</t>
  </si>
  <si>
    <t xml:space="preserve">Ceresio 7</t>
  </si>
  <si>
    <t xml:space="preserve">Via Ceresio 7</t>
  </si>
  <si>
    <t xml:space="preserve">ceresio7.com</t>
  </si>
  <si>
    <t xml:space="preserve">Il Ristorante Niko Romito (Bulgari)</t>
  </si>
  <si>
    <t xml:space="preserve">Seta by Antonio Guida (2 estrelas)</t>
  </si>
  <si>
    <t xml:space="preserve">Via Monte di Pietà 18</t>
  </si>
  <si>
    <t xml:space="preserve">+39 02 8731 8897</t>
  </si>
  <si>
    <t xml:space="preserve">Via Paolo Sarpi (Chinatown)</t>
  </si>
  <si>
    <t xml:space="preserve">Via Paolo Sarpi</t>
  </si>
  <si>
    <t xml:space="preserve">Mercato Centrale Milano</t>
  </si>
  <si>
    <t xml:space="preserve">Via Sammartini 2</t>
  </si>
  <si>
    <t xml:space="preserve">mercatocentrale.it</t>
  </si>
  <si>
    <t xml:space="preserve">Eataly Smeraldo</t>
  </si>
  <si>
    <t xml:space="preserve">Piazza XXV Aprile 10</t>
  </si>
  <si>
    <t xml:space="preserve">eataly.net</t>
  </si>
  <si>
    <t xml:space="preserve">Sinagoga Centrale e zona kosher (oeste)</t>
  </si>
  <si>
    <t xml:space="preserve">Via della Guastalla (sinagoga)</t>
  </si>
  <si>
    <t xml:space="preserve">Visita com regras próprias</t>
  </si>
  <si>
    <t xml:space="preserve">M1 Bande Nere / M4 Sforza</t>
  </si>
  <si>
    <t xml:space="preserve">Farmacia Ambreck (24h)</t>
  </si>
  <si>
    <t xml:space="preserve">Via Stradivari 1 (P.le Argentina)</t>
  </si>
  <si>
    <t xml:space="preserve">+39 02 2952 6966</t>
  </si>
  <si>
    <t xml:space="preserve">24 h, 7 dias</t>
  </si>
  <si>
    <t xml:space="preserve">M1 Loreto</t>
  </si>
  <si>
    <t xml:space="preserve">Farmacia Boccaccio / Bracco (24h)</t>
  </si>
  <si>
    <t xml:space="preserve">Via Giovanni Boccaccio 26</t>
  </si>
  <si>
    <t xml:space="preserve">+39 02 4695 281</t>
  </si>
  <si>
    <t xml:space="preserve">Farmacia Ferrarini (24h)</t>
  </si>
  <si>
    <t xml:space="preserve">Piazza Cinque Giornate 6</t>
  </si>
  <si>
    <t xml:space="preserve">+39 02 5519 4867</t>
  </si>
  <si>
    <t xml:space="preserve">24 h</t>
  </si>
  <si>
    <t xml:space="preserve">LloydsFarmacia De Angeli (24h)</t>
  </si>
  <si>
    <t xml:space="preserve">Piazza De Angeli 1</t>
  </si>
  <si>
    <t xml:space="preserve">+39 02 498 4165</t>
  </si>
  <si>
    <t xml:space="preserve">M1 De Angeli</t>
  </si>
  <si>
    <t xml:space="preserve">Boots Carlo Erba (farmácia histórica)</t>
  </si>
  <si>
    <t xml:space="preserve">+39 02 8646 4832</t>
  </si>
  <si>
    <t xml:space="preserve">~7:30–22:30 (confirmar)</t>
  </si>
  <si>
    <t xml:space="preserve">Alfaiate com retoque expresso — a encontrar</t>
  </si>
  <si>
    <t xml:space="preserve">Procurar no Quadrilatero e em Brera</t>
  </si>
  <si>
    <t xml:space="preserve">Sapateiro / conserto de sapatos — a encontrar</t>
  </si>
  <si>
    <t xml:space="preserve">Procurar em 5Vie e Porta Romana</t>
  </si>
  <si>
    <t xml:space="preserve">Barbearia de alto padrão — a encontrar</t>
  </si>
  <si>
    <t xml:space="preserve">Procurar em Brera e Quadrilatero</t>
  </si>
  <si>
    <t xml:space="preserve">Cabeleireiro de última hora — a encontrar</t>
  </si>
  <si>
    <t xml:space="preserve">Procurar perto dos hotéis 5★</t>
  </si>
  <si>
    <t xml:space="preserve">Florista de confiança — a encontrar</t>
  </si>
  <si>
    <t xml:space="preserve">Precisa entregar no hotel com hora marcada</t>
  </si>
  <si>
    <t xml:space="preserve">Lavanderia expressa — a encontrar</t>
  </si>
  <si>
    <t xml:space="preserve">Testar prazo real de 24 h</t>
  </si>
  <si>
    <t xml:space="preserve">Reparo de celular / eletrônicos — a encontrar</t>
  </si>
  <si>
    <t xml:space="preserve">Testar troca de tela no mesmo dia</t>
  </si>
  <si>
    <t xml:space="preserve">Apple Store Piazza Liberty</t>
  </si>
  <si>
    <t xml:space="preserve">Piazza Liberty 1</t>
  </si>
  <si>
    <t xml:space="preserve">apple.com</t>
  </si>
  <si>
    <t xml:space="preserve">Ótica / lentes de emergência — a encontrar</t>
  </si>
  <si>
    <t xml:space="preserve">Procurar quem faz lente no dia</t>
  </si>
  <si>
    <t xml:space="preserve">Médico particular / clínica privada — a encontrar</t>
  </si>
  <si>
    <t xml:space="preserve">Precisa atender em inglês</t>
  </si>
  <si>
    <t xml:space="preserve">Dentista de emergência — a encontrar</t>
  </si>
  <si>
    <t xml:space="preserve">Precisa atender no mesmo dia</t>
  </si>
  <si>
    <t xml:space="preserve">Veterinário / dog sitter — a encontrar</t>
  </si>
  <si>
    <t xml:space="preserve">Hóspede com cão é mais comum do que parece</t>
  </si>
  <si>
    <t xml:space="preserve">Babysitter com inglês — a encontrar</t>
  </si>
  <si>
    <t xml:space="preserve">Agência com seguro, nunca informal</t>
  </si>
  <si>
    <t xml:space="preserve">Motorista NCC de confiança — a encontrar</t>
  </si>
  <si>
    <t xml:space="preserve">Precisa de um com van para grupos</t>
  </si>
  <si>
    <t xml:space="preserve">Guia privado de arte — a encontrar</t>
  </si>
  <si>
    <t xml:space="preserve">Testar antes de indicar a hóspede</t>
  </si>
  <si>
    <t xml:space="preserve">Room Mate Giulia</t>
  </si>
  <si>
    <t xml:space="preserve">Via Silvio Pellico 4</t>
  </si>
  <si>
    <t xml:space="preserve">+39 02 8088 8900</t>
  </si>
  <si>
    <t xml:space="preserve">room-matehotels.com</t>
  </si>
  <si>
    <t xml:space="preserve">85 quartos; interiores de Patricia Urquiola</t>
  </si>
  <si>
    <t xml:space="preserve">Senato Hotel Milano</t>
  </si>
  <si>
    <t xml:space="preserve">Via Senato 22</t>
  </si>
  <si>
    <t xml:space="preserve">+39 02 781236</t>
  </si>
  <si>
    <t xml:space="preserve">senatohotelmilano.it</t>
  </si>
  <si>
    <t xml:space="preserve">43 quartos; antiga casa da família Ranza</t>
  </si>
  <si>
    <t xml:space="preserve">Nhow Milano</t>
  </si>
  <si>
    <t xml:space="preserve">Via Tortona 35</t>
  </si>
  <si>
    <t xml:space="preserve">nhow-hotels.com</t>
  </si>
  <si>
    <t xml:space="preserve">246 quartos; piscina externa sazonal; junto ao MUDEC</t>
  </si>
  <si>
    <t xml:space="preserve">STRAF Hotel&amp;bar</t>
  </si>
  <si>
    <t xml:space="preserve">Via San Raffaele 3</t>
  </si>
  <si>
    <t xml:space="preserve">straf.it</t>
  </si>
  <si>
    <t xml:space="preserve">Design brutalista; bar com música</t>
  </si>
  <si>
    <t xml:space="preserve">The Yard Milano</t>
  </si>
  <si>
    <t xml:space="preserve">Piazza XXIV Maggio 8</t>
  </si>
  <si>
    <t xml:space="preserve">theyardmilano.com</t>
  </si>
  <si>
    <t xml:space="preserve">Aceita pet; restaurante Gipsy</t>
  </si>
  <si>
    <t xml:space="preserve">The Street Milano Duomo</t>
  </si>
  <si>
    <t xml:space="preserve">Via Giuseppe Mazzini 2</t>
  </si>
  <si>
    <t xml:space="preserve">21 quartos, cada um diferente</t>
  </si>
  <si>
    <t xml:space="preserve">Hotel Viu Milan</t>
  </si>
  <si>
    <t xml:space="preserve">Via Aristotile Fioravanti 6</t>
  </si>
  <si>
    <t xml:space="preserve">hotelviumilan.com</t>
  </si>
  <si>
    <t xml:space="preserve">Rooftop com piscina</t>
  </si>
  <si>
    <t xml:space="preserve">Maison Borella</t>
  </si>
  <si>
    <t xml:space="preserve">Alzaia Naviglio Grande 8</t>
  </si>
  <si>
    <t xml:space="preserve">hotelmaisonborella.com</t>
  </si>
  <si>
    <t xml:space="preserve">Casa milanesa restaurada sobre o canal</t>
  </si>
  <si>
    <t xml:space="preserve">Moveolux — barco privado Lago di Como</t>
  </si>
  <si>
    <t xml:space="preserve">Como / Bellagio / Varenna</t>
  </si>
  <si>
    <t xml:space="preserve">moveolux.com</t>
  </si>
  <si>
    <t xml:space="preserve">Tour privado, water taxi, transfer aquático</t>
  </si>
  <si>
    <t xml:space="preserve">Trem até Como ou carro</t>
  </si>
  <si>
    <t xml:space="preserve">AC Boat Rentals — Menaggio</t>
  </si>
  <si>
    <t xml:space="preserve">Lungolago Castelli, Menaggio (CO)</t>
  </si>
  <si>
    <t xml:space="preserve">acboatrentals.com</t>
  </si>
  <si>
    <t xml:space="preserve">40–130 CV com ou sem patente; limo-boat de época</t>
  </si>
  <si>
    <t xml:space="preserve">Carro ou ferry até Menaggio</t>
  </si>
  <si>
    <t xml:space="preserve">Subacco — tours de barco em Como</t>
  </si>
  <si>
    <t xml:space="preserve">Como (cidade)</t>
  </si>
  <si>
    <t xml:space="preserve">subacco.com</t>
  </si>
  <si>
    <t xml:space="preserve">Privado com skipper, grupo pequeno ou sem licença</t>
  </si>
  <si>
    <t xml:space="preserve">Trem até Como</t>
  </si>
  <si>
    <t xml:space="preserve">Test Drive in Maranello</t>
  </si>
  <si>
    <t xml:space="preserve">Maranello (MO), 250 m do Museu Ferrari</t>
  </si>
  <si>
    <t xml:space="preserve">testdriveinmaranello.com</t>
  </si>
  <si>
    <t xml:space="preserve">Ferrari, Lamborghini, McLaren; desde 2009</t>
  </si>
  <si>
    <t xml:space="preserve">Trem até Modena + shuttle</t>
  </si>
  <si>
    <t xml:space="preserve">Motorsport Maranello</t>
  </si>
  <si>
    <t xml:space="preserve">Maranello (MO)</t>
  </si>
  <si>
    <t xml:space="preserve">motorsportmaranello.com</t>
  </si>
  <si>
    <t xml:space="preserve">Test drive + museus + simulador de F1</t>
  </si>
  <si>
    <t xml:space="preserve">Museo Ferrari Maranello</t>
  </si>
  <si>
    <t xml:space="preserve">Viale Alfredo Dino Ferrari 43, Maranello</t>
  </si>
  <si>
    <t xml:space="preserve">musei.ferrari.com</t>
  </si>
  <si>
    <t xml:space="preserve">Shuttle de Modena: €10 ida e volta com bilhete</t>
  </si>
  <si>
    <t xml:space="preserve">Trem Milão–Modena + shuttle</t>
  </si>
  <si>
    <t xml:space="preserve">The Vertical Tour — helicóptero</t>
  </si>
  <si>
    <t xml:space="preserve">Milão e Lago di Como</t>
  </si>
  <si>
    <t xml:space="preserve">+39 335 340588</t>
  </si>
  <si>
    <t xml:space="preserve">theverticaltour.it</t>
  </si>
  <si>
    <t xml:space="preserve">operativo@theverticaltour.it; elitáxi e tour panorâmico</t>
  </si>
  <si>
    <t xml:space="preserve">Heliporto; shuttle do hotel</t>
  </si>
  <si>
    <t xml:space="preserve">Elicompany — helicóptero</t>
  </si>
  <si>
    <t xml:space="preserve">Bases em Milão e Lago di Como</t>
  </si>
  <si>
    <t xml:space="preserve">elicompany.it</t>
  </si>
  <si>
    <t xml:space="preserve">Pousa em Villa d'Este, Tremezzo, Mandarin Como</t>
  </si>
  <si>
    <t xml:space="preserve">Transfer ao heliporto</t>
  </si>
  <si>
    <t xml:space="preserve">EliflyExperience — voo de 30 min</t>
  </si>
  <si>
    <t xml:space="preserve">Lago di Como</t>
  </si>
  <si>
    <t xml:space="preserve">+39 333 5757727</t>
  </si>
  <si>
    <t xml:space="preserve">elifly.it</t>
  </si>
  <si>
    <t xml:space="preserve">info@elifly.it; rota escolhida pelo passageiro</t>
  </si>
  <si>
    <t xml:space="preserve">Heliporto no Como</t>
  </si>
  <si>
    <t xml:space="preserve">Personal Shopping Milano</t>
  </si>
  <si>
    <t xml:space="preserve">Milão</t>
  </si>
  <si>
    <t xml:space="preserve">personalshoppingmilano.com</t>
  </si>
  <si>
    <t xml:space="preserve">Meio dia, dia inteiro ou por hora; com ou sem motorista</t>
  </si>
  <si>
    <t xml:space="preserve">Nicoletta Cosolo — personal shopper</t>
  </si>
  <si>
    <t xml:space="preserve">nikipersonalshoppermilano.com</t>
  </si>
  <si>
    <t xml:space="preserve">Quadrilatero, designers de Porta Venezia e outlets</t>
  </si>
  <si>
    <t xml:space="preserve">Luxury Service Milano — concierge service</t>
  </si>
  <si>
    <t xml:space="preserve">luxuryservicemilano.com</t>
  </si>
  <si>
    <t xml:space="preserve">NCC, jet, restaurantes estrelados, clubes, bilhetes VIP</t>
  </si>
  <si>
    <t xml:space="preserve">Serviço, não lugar</t>
  </si>
  <si>
    <t xml:space="preserve">Four Seasons — Milan Fashion Tour (Vittoria De Carlo)</t>
  </si>
  <si>
    <t xml:space="preserve">Ateliês privados e designers emergentes, com motorista</t>
  </si>
  <si>
    <t xml:space="preserve">NCC Vivaldi — shopping tour com motorista</t>
  </si>
  <si>
    <t xml:space="preserve">i-vivaldi.com</t>
  </si>
  <si>
    <t xml:space="preserve">4 h, dia inteiro ou vários dias</t>
  </si>
  <si>
    <t xml:space="preserve">Serviço com carro</t>
  </si>
  <si>
    <t xml:space="preserve">Outlet Serravalle</t>
  </si>
  <si>
    <t xml:space="preserve">Serravalle Scrivia (AL)</t>
  </si>
  <si>
    <t xml:space="preserve">mcarthurglen.com</t>
  </si>
  <si>
    <t xml:space="preserve">~1 h de carro; shuttle de Milão</t>
  </si>
  <si>
    <t xml:space="preserve">Shuttle ou carro</t>
  </si>
  <si>
    <t xml:space="preserve">Fidenza Village</t>
  </si>
  <si>
    <t xml:space="preserve">Fidenza (PR)</t>
  </si>
  <si>
    <t xml:space="preserve">thebicestercollection.com</t>
  </si>
  <si>
    <t xml:space="preserve">~1 h 15 de carro; shuttle de Milão</t>
  </si>
  <si>
    <t xml:space="preserve">Shuttle ou trem</t>
  </si>
  <si>
    <t xml:space="preserve">Progresso das 12 semanas</t>
  </si>
  <si>
    <t xml:space="preserve">Tema</t>
  </si>
  <si>
    <t xml:space="preserve">Total</t>
  </si>
  <si>
    <t xml:space="preserve">Visitados</t>
  </si>
  <si>
    <t xml:space="preserve">Falta</t>
  </si>
  <si>
    <t xml:space="preserve">% concluído</t>
  </si>
  <si>
    <t xml:space="preserve">Leonardo</t>
  </si>
  <si>
    <t xml:space="preserve">Milão secreta</t>
  </si>
  <si>
    <t xml:space="preserve">Moda</t>
  </si>
  <si>
    <t xml:space="preserve">Design</t>
  </si>
  <si>
    <t xml:space="preserve">Porta Romana / Ticinese</t>
  </si>
  <si>
    <t xml:space="preserve">Porta Nuova / Isola</t>
  </si>
  <si>
    <t xml:space="preserve">CityLife / San Siro</t>
  </si>
  <si>
    <t xml:space="preserve">Luxury concierge</t>
  </si>
  <si>
    <t xml:space="preserve">Rede de serviços</t>
  </si>
  <si>
    <t xml:space="preserve">Hotéis boutique</t>
  </si>
  <si>
    <t xml:space="preserve">Experiências premium</t>
  </si>
  <si>
    <t xml:space="preserve">TOTAL</t>
  </si>
  <si>
    <t xml:space="preserve">Fichas com nota preenchida</t>
  </si>
  <si>
    <t xml:space="preserve">Marcados como LGBTQIA+ friendly</t>
  </si>
  <si>
    <t xml:space="preserve">Marcados como acessíveis</t>
  </si>
  <si>
    <t xml:space="preserve">Servem com chuva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</si>
</sst>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5" t="s">
        <v>11</v>
      </c>
      <c r="B15" s="4" t="s">
        <v>12</v>
      </c>
    </row>
    <row r="16" customFormat="false" ht="15" hidden="false" customHeight="false" outlineLevel="0" collapsed="false">
      <c r="A16" s="5" t="s">
        <v>13</v>
      </c>
      <c r="B16" s="4" t="s">
        <v>14</v>
      </c>
    </row>
    <row r="17" customFormat="false" ht="15" hidden="false" customHeight="false" outlineLevel="0" collapsed="false">
      <c r="A17" s="5" t="s">
        <v>15</v>
      </c>
      <c r="B17" s="4" t="s">
        <v>16</v>
      </c>
    </row>
    <row r="18" customFormat="false" ht="15" hidden="false" customHeight="false" outlineLevel="0" collapsed="false">
      <c r="A18" s="5" t="s">
        <v>17</v>
      </c>
      <c r="B18" s="4" t="s">
        <v>18</v>
      </c>
    </row>
    <row r="19" customFormat="false" ht="15" hidden="false" customHeight="false" outlineLevel="0" collapsed="false">
      <c r="B19" s="4" t="s">
        <v>19</v>
      </c>
    </row>
    <row r="21" customFormat="false" ht="15" hidden="false" customHeight="false" outlineLevel="0" collapsed="false">
      <c r="A21" s="3" t="s">
        <v>20</v>
      </c>
    </row>
    <row r="22" customFormat="false" ht="15" hidden="false" customHeight="false" outlineLevel="0" collapsed="false">
      <c r="B22" s="4" t="s">
        <v>21</v>
      </c>
    </row>
    <row r="23" customFormat="false" ht="15" hidden="false" customHeight="false" outlineLevel="0" collapsed="false">
      <c r="B23" s="4" t="s">
        <v>22</v>
      </c>
    </row>
    <row r="24" customFormat="false" ht="15" hidden="false" customHeight="false" outlineLevel="0" collapsed="false">
      <c r="B24" s="4" t="s">
        <v>23</v>
      </c>
    </row>
    <row r="25" customFormat="false" ht="15" hidden="false" customHeight="false" outlineLevel="0" collapsed="false">
      <c r="B25" s="4" t="s">
        <v>24</v>
      </c>
    </row>
    <row r="27" customFormat="false" ht="15" hidden="false" customHeight="false" outlineLevel="0" collapsed="false">
      <c r="A27" s="3" t="s">
        <v>25</v>
      </c>
    </row>
    <row r="28" customFormat="false" ht="15" hidden="false" customHeight="false" outlineLevel="0" collapsed="false">
      <c r="B28" s="4" t="s">
        <v>26</v>
      </c>
    </row>
    <row r="29" customFormat="false" ht="15" hidden="false" customHeight="false" outlineLevel="0" collapsed="false">
      <c r="B29" s="4" t="s">
        <v>27</v>
      </c>
    </row>
    <row r="31" customFormat="false" ht="15" hidden="false" customHeight="false" outlineLevel="0" collapsed="false">
      <c r="A31" s="3" t="s">
        <v>28</v>
      </c>
    </row>
    <row r="32" customFormat="false" ht="15" hidden="false" customHeight="false" outlineLevel="0" collapsed="false">
      <c r="A32" s="5" t="s">
        <v>29</v>
      </c>
      <c r="B32" s="6" t="s">
        <v>30</v>
      </c>
    </row>
    <row r="33" customFormat="false" ht="15" hidden="false" customHeight="false" outlineLevel="0" collapsed="false">
      <c r="A33" s="5" t="s">
        <v>31</v>
      </c>
      <c r="B33" s="6" t="s">
        <v>32</v>
      </c>
    </row>
    <row r="34" customFormat="false" ht="15" hidden="false" customHeight="false" outlineLevel="0" collapsed="false">
      <c r="A34" s="5" t="s">
        <v>11</v>
      </c>
      <c r="B34" s="6" t="s">
        <v>33</v>
      </c>
    </row>
    <row r="35" customFormat="false" ht="15" hidden="false" customHeight="false" outlineLevel="0" collapsed="false">
      <c r="A35" s="5" t="s">
        <v>13</v>
      </c>
      <c r="B35" s="6" t="s">
        <v>34</v>
      </c>
    </row>
    <row r="36" customFormat="false" ht="15" hidden="false" customHeight="false" outlineLevel="0" collapsed="false">
      <c r="A36" s="5" t="s">
        <v>15</v>
      </c>
      <c r="B36" s="6" t="s">
        <v>35</v>
      </c>
    </row>
    <row r="37" customFormat="false" ht="15" hidden="false" customHeight="false" outlineLevel="0" collapsed="false">
      <c r="A37" s="5" t="s">
        <v>36</v>
      </c>
      <c r="B37" s="6" t="s">
        <v>37</v>
      </c>
    </row>
    <row r="38" customFormat="false" ht="15" hidden="false" customHeight="false" outlineLevel="0" collapsed="false">
      <c r="A38" s="5" t="s">
        <v>38</v>
      </c>
      <c r="B38" s="6" t="s">
        <v>39</v>
      </c>
    </row>
    <row r="39" customFormat="false" ht="15" hidden="false" customHeight="false" outlineLevel="0" collapsed="false">
      <c r="A39" s="5" t="s">
        <v>40</v>
      </c>
      <c r="B39" s="6" t="s">
        <v>39</v>
      </c>
    </row>
    <row r="40" customFormat="false" ht="15" hidden="false" customHeight="false" outlineLevel="0" collapsed="false">
      <c r="A40" s="5" t="s">
        <v>41</v>
      </c>
      <c r="B40" s="6" t="s">
        <v>42</v>
      </c>
    </row>
    <row r="41" customFormat="false" ht="15" hidden="false" customHeight="false" outlineLevel="0" collapsed="false">
      <c r="A41" s="5" t="s">
        <v>43</v>
      </c>
      <c r="B41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42"/>
    <col collapsed="false" customWidth="true" hidden="false" outlineLevel="0" max="9" min="9" style="0" width="26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3" customFormat="false" ht="15" hidden="false" customHeight="false" outlineLevel="0" collapsed="false">
      <c r="A3" s="5" t="s">
        <v>47</v>
      </c>
      <c r="B3" s="7" t="s">
        <v>48</v>
      </c>
    </row>
    <row r="4" customFormat="false" ht="15" hidden="false" customHeight="false" outlineLevel="0" collapsed="false">
      <c r="A4" s="5" t="s">
        <v>15</v>
      </c>
      <c r="B4" s="7" t="s">
        <v>48</v>
      </c>
    </row>
    <row r="5" customFormat="false" ht="15" hidden="false" customHeight="false" outlineLevel="0" collapsed="false">
      <c r="A5" s="5" t="s">
        <v>49</v>
      </c>
      <c r="B5" s="7" t="s">
        <v>48</v>
      </c>
    </row>
    <row r="6" customFormat="false" ht="15" hidden="false" customHeight="false" outlineLevel="0" collapsed="false">
      <c r="A6" s="5" t="s">
        <v>50</v>
      </c>
      <c r="B6" s="7" t="s">
        <v>48</v>
      </c>
    </row>
    <row r="7" customFormat="false" ht="15" hidden="false" customHeight="false" outlineLevel="0" collapsed="false">
      <c r="A7" s="5" t="s">
        <v>51</v>
      </c>
      <c r="B7" s="7" t="s">
        <v>52</v>
      </c>
    </row>
    <row r="8" customFormat="false" ht="15" hidden="false" customHeight="false" outlineLevel="0" collapsed="false">
      <c r="A8" s="5" t="s">
        <v>53</v>
      </c>
      <c r="B8" s="7" t="s">
        <v>48</v>
      </c>
    </row>
    <row r="9" customFormat="false" ht="15" hidden="false" customHeight="false" outlineLevel="0" collapsed="false">
      <c r="A9" s="5" t="s">
        <v>54</v>
      </c>
      <c r="B9" s="7" t="s">
        <v>48</v>
      </c>
    </row>
    <row r="10" customFormat="false" ht="15" hidden="false" customHeight="false" outlineLevel="0" collapsed="false">
      <c r="A10" s="5" t="s">
        <v>55</v>
      </c>
      <c r="B10" s="7" t="s">
        <v>52</v>
      </c>
    </row>
    <row r="11" customFormat="false" ht="15" hidden="false" customHeight="false" outlineLevel="0" collapsed="false">
      <c r="A11" s="5" t="s">
        <v>56</v>
      </c>
      <c r="B11" s="7" t="s">
        <v>52</v>
      </c>
    </row>
    <row r="12" customFormat="false" ht="15" hidden="false" customHeight="false" outlineLevel="0" collapsed="false">
      <c r="A12" s="5" t="s">
        <v>13</v>
      </c>
      <c r="B12" s="7" t="s">
        <v>48</v>
      </c>
    </row>
    <row r="14" customFormat="false" ht="15" hidden="false" customHeight="false" outlineLevel="0" collapsed="false">
      <c r="A14" s="3" t="s">
        <v>57</v>
      </c>
    </row>
    <row r="15" customFormat="false" ht="15" hidden="false" customHeight="false" outlineLevel="0" collapsed="false">
      <c r="B15" s="8" t="s">
        <v>58</v>
      </c>
      <c r="C15" s="8" t="s">
        <v>54</v>
      </c>
      <c r="D15" s="8" t="s">
        <v>53</v>
      </c>
      <c r="E15" s="8" t="s">
        <v>31</v>
      </c>
      <c r="F15" s="8" t="s">
        <v>59</v>
      </c>
      <c r="G15" s="8" t="s">
        <v>60</v>
      </c>
      <c r="H15" s="8" t="s">
        <v>41</v>
      </c>
      <c r="I15" s="8" t="s">
        <v>43</v>
      </c>
      <c r="J15" s="8" t="s">
        <v>29</v>
      </c>
    </row>
    <row r="16" customFormat="false" ht="45.75" hidden="false" customHeight="true" outlineLevel="0" collapsed="false">
      <c r="A16" s="9" t="s">
        <v>61</v>
      </c>
      <c r="B16" s="10" t="str">
        <f aca="false">IFERROR(IF(LARGE(Fichas!$AF$2:$AF$260,1)&lt;=0,"—",IF(INDEX(Fichas!$B$2:$B$260,MATCH(LARGE(Fichas!$AF$2:$AF$260,1),Fichas!$AF$2:$AF$260,0))=0,"—",INDEX(Fichas!$B$2:$B$260,MATCH(LARGE(Fichas!$AF$2:$AF$260,1),Fichas!$AF$2:$AF$260,0)))),"—")</f>
        <v>Duomo di Milano — Catedral</v>
      </c>
      <c r="C16" s="10" t="str">
        <f aca="false">IFERROR(IF(LARGE(Fichas!$AF$2:$AF$260,1)&lt;=0,"—",IF(INDEX(Fichas!$D$2:$D$260,MATCH(LARGE(Fichas!$AF$2:$AF$260,1),Fichas!$AF$2:$AF$260,0))=0,"—",INDEX(Fichas!$D$2:$D$260,MATCH(LARGE(Fichas!$AF$2:$AF$260,1),Fichas!$AF$2:$AF$260,0)))),"—")</f>
        <v>Duomo</v>
      </c>
      <c r="D16" s="10" t="str">
        <f aca="false">IFERROR(IF(LARGE(Fichas!$AF$2:$AF$260,1)&lt;=0,"—",IF(INDEX(Fichas!$C$2:$C$260,MATCH(LARGE(Fichas!$AF$2:$AF$260,1),Fichas!$AF$2:$AF$260,0))=0,"—",INDEX(Fichas!$C$2:$C$260,MATCH(LARGE(Fichas!$AF$2:$AF$260,1),Fichas!$AF$2:$AF$260,0)))),"—")</f>
        <v>Monumento</v>
      </c>
      <c r="E16" s="10" t="str">
        <f aca="false">IFERROR(IF(LARGE(Fichas!$AF$2:$AF$260,1)&lt;=0,"—",IF(INDEX(Fichas!$O$2:$O$260,MATCH(LARGE(Fichas!$AF$2:$AF$260,1),Fichas!$AF$2:$AF$260,0))=0,"—",INDEX(Fichas!$O$2:$O$260,MATCH(LARGE(Fichas!$AF$2:$AF$260,1),Fichas!$AF$2:$AF$260,0)))),"—")</f>
        <v>—</v>
      </c>
      <c r="F16" s="10" t="str">
        <f aca="false">IFERROR(IF(LARGE(Fichas!$AF$2:$AF$260,1)&lt;=0,"—",IF(INDEX(Fichas!$H$2:$H$260,MATCH(LARGE(Fichas!$AF$2:$AF$260,1),Fichas!$AF$2:$AF$260,0))=0,"—",INDEX(Fichas!$H$2:$H$260,MATCH(LARGE(Fichas!$AF$2:$AF$260,1),Fichas!$AF$2:$AF$260,0)))),"—")</f>
        <v>Nunca</v>
      </c>
      <c r="G16" s="10" t="str">
        <f aca="false">IFERROR(IF(LARGE(Fichas!$AF$2:$AF$260,1)&lt;=0,"—",IF(INDEX(Fichas!$K$2:$K$260,MATCH(LARGE(Fichas!$AF$2:$AF$260,1),Fichas!$AF$2:$AF$260,0))=0,"—",INDEX(Fichas!$K$2:$K$260,MATCH(LARGE(Fichas!$AF$2:$AF$260,1),Fichas!$AF$2:$AF$260,0)))),"—")</f>
        <v>M1/M3 Duomo</v>
      </c>
      <c r="H16" s="10" t="str">
        <f aca="false">IFERROR(IF(LARGE(Fichas!$AF$2:$AF$260,1)&lt;=0,"—",IF(INDEX(Fichas!$AD$2:$AD$260,MATCH(LARGE(Fichas!$AF$2:$AF$260,1),Fichas!$AF$2:$AF$260,0))=0,"—",INDEX(Fichas!$AD$2:$AD$260,MATCH(LARGE(Fichas!$AF$2:$AF$260,1),Fichas!$AF$2:$AF$260,0)))),"—")</f>
        <v>—</v>
      </c>
      <c r="I16" s="10" t="str">
        <f aca="false">IFERROR(IF(LARGE(Fichas!$AF$2:$AF$260,1)&lt;=0,"—",IF(INDEX(Fichas!$AE$2:$AE$260,MATCH(LARGE(Fichas!$AF$2:$AF$260,1),Fichas!$AF$2:$AF$260,0))=0,"—",INDEX(Fichas!$AE$2:$AE$260,MATCH(LARGE(Fichas!$AF$2:$AF$260,1),Fichas!$AF$2:$AF$260,0)))),"—")</f>
        <v>—</v>
      </c>
      <c r="J16" s="10" t="str">
        <f aca="false">IFERROR(IF(LARGE(Fichas!$AF$2:$AF$260,1)&lt;=0,"—",IF(INDEX(Fichas!$N$2:$N$260,MATCH(LARGE(Fichas!$AF$2:$AF$260,1),Fichas!$AF$2:$AF$260,0))=0,"—",INDEX(Fichas!$N$2:$N$260,MATCH(LARGE(Fichas!$AF$2:$AF$260,1),Fichas!$AF$2:$AF$260,0)))),"—")</f>
        <v>—</v>
      </c>
    </row>
    <row r="17" customFormat="false" ht="45.75" hidden="false" customHeight="true" outlineLevel="0" collapsed="false">
      <c r="A17" s="9" t="s">
        <v>62</v>
      </c>
      <c r="B17" s="10" t="str">
        <f aca="false">IFERROR(IF(LARGE(Fichas!$AF$2:$AF$260,2)&lt;=0,"—",IF(INDEX(Fichas!$B$2:$B$260,MATCH(LARGE(Fichas!$AF$2:$AF$260,2),Fichas!$AF$2:$AF$260,0))=0,"—",INDEX(Fichas!$B$2:$B$260,MATCH(LARGE(Fichas!$AF$2:$AF$260,2),Fichas!$AF$2:$AF$260,0)))),"—")</f>
        <v>Duomo — Terrazze (terraços)</v>
      </c>
      <c r="C17" s="10" t="str">
        <f aca="false">IFERROR(IF(LARGE(Fichas!$AF$2:$AF$260,2)&lt;=0,"—",IF(INDEX(Fichas!$D$2:$D$260,MATCH(LARGE(Fichas!$AF$2:$AF$260,2),Fichas!$AF$2:$AF$260,0))=0,"—",INDEX(Fichas!$D$2:$D$260,MATCH(LARGE(Fichas!$AF$2:$AF$260,2),Fichas!$AF$2:$AF$260,0)))),"—")</f>
        <v>Duomo</v>
      </c>
      <c r="D17" s="10" t="str">
        <f aca="false">IFERROR(IF(LARGE(Fichas!$AF$2:$AF$260,2)&lt;=0,"—",IF(INDEX(Fichas!$C$2:$C$260,MATCH(LARGE(Fichas!$AF$2:$AF$260,2),Fichas!$AF$2:$AF$260,0))=0,"—",INDEX(Fichas!$C$2:$C$260,MATCH(LARGE(Fichas!$AF$2:$AF$260,2),Fichas!$AF$2:$AF$260,0)))),"—")</f>
        <v>Monumento</v>
      </c>
      <c r="E17" s="10" t="str">
        <f aca="false">IFERROR(IF(LARGE(Fichas!$AF$2:$AF$260,2)&lt;=0,"—",IF(INDEX(Fichas!$O$2:$O$260,MATCH(LARGE(Fichas!$AF$2:$AF$260,2),Fichas!$AF$2:$AF$260,0))=0,"—",INDEX(Fichas!$O$2:$O$260,MATCH(LARGE(Fichas!$AF$2:$AF$260,2),Fichas!$AF$2:$AF$260,0)))),"—")</f>
        <v>—</v>
      </c>
      <c r="F17" s="10" t="str">
        <f aca="false">IFERROR(IF(LARGE(Fichas!$AF$2:$AF$260,2)&lt;=0,"—",IF(INDEX(Fichas!$H$2:$H$260,MATCH(LARGE(Fichas!$AF$2:$AF$260,2),Fichas!$AF$2:$AF$260,0))=0,"—",INDEX(Fichas!$H$2:$H$260,MATCH(LARGE(Fichas!$AF$2:$AF$260,2),Fichas!$AF$2:$AF$260,0)))),"—")</f>
        <v>Nunca</v>
      </c>
      <c r="G17" s="10" t="str">
        <f aca="false">IFERROR(IF(LARGE(Fichas!$AF$2:$AF$260,2)&lt;=0,"—",IF(INDEX(Fichas!$K$2:$K$260,MATCH(LARGE(Fichas!$AF$2:$AF$260,2),Fichas!$AF$2:$AF$260,0))=0,"—",INDEX(Fichas!$K$2:$K$260,MATCH(LARGE(Fichas!$AF$2:$AF$260,2),Fichas!$AF$2:$AF$260,0)))),"—")</f>
        <v>M1/M3 Duomo</v>
      </c>
      <c r="H17" s="10" t="str">
        <f aca="false">IFERROR(IF(LARGE(Fichas!$AF$2:$AF$260,2)&lt;=0,"—",IF(INDEX(Fichas!$AD$2:$AD$260,MATCH(LARGE(Fichas!$AF$2:$AF$260,2),Fichas!$AF$2:$AF$260,0))=0,"—",INDEX(Fichas!$AD$2:$AD$260,MATCH(LARGE(Fichas!$AF$2:$AF$260,2),Fichas!$AF$2:$AF$260,0)))),"—")</f>
        <v>—</v>
      </c>
      <c r="I17" s="10" t="str">
        <f aca="false">IFERROR(IF(LARGE(Fichas!$AF$2:$AF$260,2)&lt;=0,"—",IF(INDEX(Fichas!$AE$2:$AE$260,MATCH(LARGE(Fichas!$AF$2:$AF$260,2),Fichas!$AF$2:$AF$260,0))=0,"—",INDEX(Fichas!$AE$2:$AE$260,MATCH(LARGE(Fichas!$AF$2:$AF$260,2),Fichas!$AF$2:$AF$260,0)))),"—")</f>
        <v>—</v>
      </c>
      <c r="J17" s="10" t="str">
        <f aca="false">IFERROR(IF(LARGE(Fichas!$AF$2:$AF$260,2)&lt;=0,"—",IF(INDEX(Fichas!$N$2:$N$260,MATCH(LARGE(Fichas!$AF$2:$AF$260,2),Fichas!$AF$2:$AF$260,0))=0,"—",INDEX(Fichas!$N$2:$N$260,MATCH(LARGE(Fichas!$AF$2:$AF$260,2),Fichas!$AF$2:$AF$260,0)))),"—")</f>
        <v>—</v>
      </c>
    </row>
    <row r="18" customFormat="false" ht="45.75" hidden="false" customHeight="true" outlineLevel="0" collapsed="false">
      <c r="A18" s="9" t="s">
        <v>63</v>
      </c>
      <c r="B18" s="10" t="str">
        <f aca="false">IFERROR(IF(LARGE(Fichas!$AF$2:$AF$260,3)&lt;=0,"—",IF(INDEX(Fichas!$B$2:$B$260,MATCH(LARGE(Fichas!$AF$2:$AF$260,3),Fichas!$AF$2:$AF$260,0))=0,"—",INDEX(Fichas!$B$2:$B$260,MATCH(LARGE(Fichas!$AF$2:$AF$260,3),Fichas!$AF$2:$AF$260,0)))),"—")</f>
        <v>Museo del Duomo</v>
      </c>
      <c r="C18" s="10" t="str">
        <f aca="false">IFERROR(IF(LARGE(Fichas!$AF$2:$AF$260,3)&lt;=0,"—",IF(INDEX(Fichas!$D$2:$D$260,MATCH(LARGE(Fichas!$AF$2:$AF$260,3),Fichas!$AF$2:$AF$260,0))=0,"—",INDEX(Fichas!$D$2:$D$260,MATCH(LARGE(Fichas!$AF$2:$AF$260,3),Fichas!$AF$2:$AF$260,0)))),"—")</f>
        <v>Duomo</v>
      </c>
      <c r="D18" s="10" t="str">
        <f aca="false">IFERROR(IF(LARGE(Fichas!$AF$2:$AF$260,3)&lt;=0,"—",IF(INDEX(Fichas!$C$2:$C$260,MATCH(LARGE(Fichas!$AF$2:$AF$260,3),Fichas!$AF$2:$AF$260,0))=0,"—",INDEX(Fichas!$C$2:$C$260,MATCH(LARGE(Fichas!$AF$2:$AF$260,3),Fichas!$AF$2:$AF$260,0)))),"—")</f>
        <v>Museu</v>
      </c>
      <c r="E18" s="10" t="str">
        <f aca="false">IFERROR(IF(LARGE(Fichas!$AF$2:$AF$260,3)&lt;=0,"—",IF(INDEX(Fichas!$O$2:$O$260,MATCH(LARGE(Fichas!$AF$2:$AF$260,3),Fichas!$AF$2:$AF$260,0))=0,"—",INDEX(Fichas!$O$2:$O$260,MATCH(LARGE(Fichas!$AF$2:$AF$260,3),Fichas!$AF$2:$AF$260,0)))),"—")</f>
        <v>—</v>
      </c>
      <c r="F18" s="10" t="str">
        <f aca="false">IFERROR(IF(LARGE(Fichas!$AF$2:$AF$260,3)&lt;=0,"—",IF(INDEX(Fichas!$H$2:$H$260,MATCH(LARGE(Fichas!$AF$2:$AF$260,3),Fichas!$AF$2:$AF$260,0))=0,"—",INDEX(Fichas!$H$2:$H$260,MATCH(LARGE(Fichas!$AF$2:$AF$260,3),Fichas!$AF$2:$AF$260,0)))),"—")</f>
        <v>Quarta</v>
      </c>
      <c r="G18" s="10" t="str">
        <f aca="false">IFERROR(IF(LARGE(Fichas!$AF$2:$AF$260,3)&lt;=0,"—",IF(INDEX(Fichas!$K$2:$K$260,MATCH(LARGE(Fichas!$AF$2:$AF$260,3),Fichas!$AF$2:$AF$260,0))=0,"—",INDEX(Fichas!$K$2:$K$260,MATCH(LARGE(Fichas!$AF$2:$AF$260,3),Fichas!$AF$2:$AF$260,0)))),"—")</f>
        <v>M1/M3 Duomo</v>
      </c>
      <c r="H18" s="10" t="str">
        <f aca="false">IFERROR(IF(LARGE(Fichas!$AF$2:$AF$260,3)&lt;=0,"—",IF(INDEX(Fichas!$AD$2:$AD$260,MATCH(LARGE(Fichas!$AF$2:$AF$260,3),Fichas!$AF$2:$AF$260,0))=0,"—",INDEX(Fichas!$AD$2:$AD$260,MATCH(LARGE(Fichas!$AF$2:$AF$260,3),Fichas!$AF$2:$AF$260,0)))),"—")</f>
        <v>—</v>
      </c>
      <c r="I18" s="10" t="str">
        <f aca="false">IFERROR(IF(LARGE(Fichas!$AF$2:$AF$260,3)&lt;=0,"—",IF(INDEX(Fichas!$AE$2:$AE$260,MATCH(LARGE(Fichas!$AF$2:$AF$260,3),Fichas!$AF$2:$AF$260,0))=0,"—",INDEX(Fichas!$AE$2:$AE$260,MATCH(LARGE(Fichas!$AF$2:$AF$260,3),Fichas!$AF$2:$AF$260,0)))),"—")</f>
        <v>—</v>
      </c>
      <c r="J18" s="10" t="str">
        <f aca="false">IFERROR(IF(LARGE(Fichas!$AF$2:$AF$260,3)&lt;=0,"—",IF(INDEX(Fichas!$N$2:$N$260,MATCH(LARGE(Fichas!$AF$2:$AF$260,3),Fichas!$AF$2:$AF$260,0))=0,"—",INDEX(Fichas!$N$2:$N$260,MATCH(LARGE(Fichas!$AF$2:$AF$260,3),Fichas!$AF$2:$AF$260,0)))),"—")</f>
        <v>—</v>
      </c>
    </row>
    <row r="20" customFormat="false" ht="15" hidden="false" customHeight="false" outlineLevel="0" collapsed="false">
      <c r="A20" s="11" t="s">
        <v>64</v>
      </c>
    </row>
  </sheetData>
  <dataValidations count="10">
    <dataValidation allowBlank="true" errorStyle="stop" operator="between" showDropDown="false" showErrorMessage="false" showInputMessage="false" sqref="B3" type="list">
      <formula1>Listas!$Q$2:$Q$7</formula1>
      <formula2>0</formula2>
    </dataValidation>
    <dataValidation allowBlank="true" errorStyle="stop" operator="between" showDropDown="false" showErrorMessage="false" showInputMessage="false" sqref="B4" type="list">
      <formula1>Listas!$S$2:$S$10</formula1>
      <formula2>0</formula2>
    </dataValidation>
    <dataValidation allowBlank="true" errorStyle="stop" operator="between" showDropDown="false" showErrorMessage="false" showInputMessage="false" sqref="B5" type="list">
      <formula1>Listas!$W$2:$W$9</formula1>
      <formula2>0</formula2>
    </dataValidation>
    <dataValidation allowBlank="true" errorStyle="stop" operator="between" showDropDown="false" showErrorMessage="false" showInputMessage="false" sqref="B6" type="list">
      <formula1>Listas!$T$2:$T$7</formula1>
      <formula2>0</formula2>
    </dataValidation>
    <dataValidation allowBlank="true" errorStyle="stop" operator="between" showDropDown="false" showErrorMessage="false" showInputMessage="false" sqref="B7" type="list">
      <formula1>Listas!$E$2:$E$3</formula1>
      <formula2>0</formula2>
    </dataValidation>
    <dataValidation allowBlank="true" errorStyle="stop" operator="between" showDropDown="false" showErrorMessage="false" showInputMessage="false" sqref="B8" type="list">
      <formula1>Listas!$U$2:$U$19</formula1>
      <formula2>0</formula2>
    </dataValidation>
    <dataValidation allowBlank="true" errorStyle="stop" operator="between" showDropDown="false" showErrorMessage="false" showInputMessage="false" sqref="B9" type="list">
      <formula1>Listas!$V$2:$V$28</formula1>
      <formula2>0</formula2>
    </dataValidation>
    <dataValidation allowBlank="true" errorStyle="stop" operator="between" showDropDown="false" showErrorMessage="false" showInputMessage="false" sqref="B10" type="list">
      <formula1>Listas!$E$2:$E$3</formula1>
      <formula2>0</formula2>
    </dataValidation>
    <dataValidation allowBlank="true" errorStyle="stop" operator="between" showDropDown="false" showErrorMessage="false" showInputMessage="false" sqref="B11" type="list">
      <formula1>Listas!$E$2:$E$3</formula1>
      <formula2>0</formula2>
    </dataValidation>
    <dataValidation allowBlank="true" errorStyle="stop" operator="between" showDropDown="false" showErrorMessage="false" showInputMessage="false" sqref="B12" type="list">
      <formula1>Listas!$R$2:$R$5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24"/>
  </cols>
  <sheetData>
    <row r="1" customFormat="false" ht="15" hidden="false" customHeight="false" outlineLevel="0" collapsed="false">
      <c r="A1" s="12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73</v>
      </c>
      <c r="J1" s="12" t="s">
        <v>74</v>
      </c>
      <c r="K1" s="12" t="s">
        <v>75</v>
      </c>
      <c r="L1" s="12" t="s">
        <v>76</v>
      </c>
      <c r="M1" s="12" t="s">
        <v>77</v>
      </c>
      <c r="N1" s="12" t="s">
        <v>78</v>
      </c>
      <c r="O1" s="12" t="s">
        <v>79</v>
      </c>
      <c r="P1" s="12" t="s">
        <v>80</v>
      </c>
      <c r="Q1" s="12" t="s">
        <v>81</v>
      </c>
      <c r="R1" s="12" t="s">
        <v>82</v>
      </c>
      <c r="S1" s="12" t="s">
        <v>83</v>
      </c>
      <c r="T1" s="12" t="s">
        <v>84</v>
      </c>
      <c r="U1" s="12" t="s">
        <v>85</v>
      </c>
      <c r="V1" s="12" t="s">
        <v>86</v>
      </c>
      <c r="W1" s="12" t="s">
        <v>87</v>
      </c>
    </row>
    <row r="2" customFormat="false" ht="15" hidden="false" customHeight="false" outlineLevel="0" collapsed="false">
      <c r="A2" s="4" t="s">
        <v>88</v>
      </c>
      <c r="B2" s="4" t="s">
        <v>89</v>
      </c>
      <c r="C2" s="4" t="s">
        <v>90</v>
      </c>
      <c r="D2" s="4" t="s">
        <v>91</v>
      </c>
      <c r="E2" s="4" t="s">
        <v>39</v>
      </c>
      <c r="F2" s="4" t="s">
        <v>39</v>
      </c>
      <c r="G2" s="4" t="n">
        <v>1</v>
      </c>
      <c r="H2" s="4" t="s">
        <v>92</v>
      </c>
      <c r="I2" s="4" t="s">
        <v>37</v>
      </c>
      <c r="J2" s="4" t="s">
        <v>93</v>
      </c>
      <c r="K2" s="4" t="s">
        <v>94</v>
      </c>
      <c r="L2" s="4" t="s">
        <v>95</v>
      </c>
      <c r="M2" s="4" t="s">
        <v>90</v>
      </c>
      <c r="N2" s="4" t="s">
        <v>96</v>
      </c>
      <c r="O2" s="4" t="s">
        <v>97</v>
      </c>
      <c r="P2" s="4" t="s">
        <v>98</v>
      </c>
      <c r="Q2" s="4" t="s">
        <v>48</v>
      </c>
      <c r="R2" s="4" t="s">
        <v>48</v>
      </c>
      <c r="S2" s="4" t="s">
        <v>48</v>
      </c>
      <c r="T2" s="4" t="s">
        <v>48</v>
      </c>
      <c r="U2" s="4" t="s">
        <v>48</v>
      </c>
      <c r="V2" s="4" t="s">
        <v>48</v>
      </c>
      <c r="W2" s="4" t="s">
        <v>48</v>
      </c>
    </row>
    <row r="3" customFormat="false" ht="15" hidden="false" customHeight="false" outlineLevel="0" collapsed="false">
      <c r="A3" s="4" t="s">
        <v>99</v>
      </c>
      <c r="B3" s="4" t="s">
        <v>100</v>
      </c>
      <c r="C3" s="4" t="s">
        <v>101</v>
      </c>
      <c r="D3" s="4" t="s">
        <v>102</v>
      </c>
      <c r="E3" s="4" t="s">
        <v>52</v>
      </c>
      <c r="F3" s="4" t="s">
        <v>52</v>
      </c>
      <c r="G3" s="4" t="n">
        <v>2</v>
      </c>
      <c r="H3" s="4" t="s">
        <v>103</v>
      </c>
      <c r="I3" s="4" t="s">
        <v>104</v>
      </c>
      <c r="J3" s="4" t="s">
        <v>105</v>
      </c>
      <c r="K3" s="4" t="s">
        <v>106</v>
      </c>
      <c r="L3" s="4" t="s">
        <v>107</v>
      </c>
      <c r="M3" s="4" t="s">
        <v>101</v>
      </c>
      <c r="N3" s="4" t="s">
        <v>108</v>
      </c>
      <c r="O3" s="4" t="s">
        <v>109</v>
      </c>
      <c r="P3" s="4" t="s">
        <v>110</v>
      </c>
      <c r="Q3" s="4" t="s">
        <v>96</v>
      </c>
      <c r="R3" s="4" t="s">
        <v>97</v>
      </c>
      <c r="S3" s="4" t="s">
        <v>98</v>
      </c>
      <c r="T3" s="4" t="s">
        <v>92</v>
      </c>
      <c r="U3" s="4" t="s">
        <v>88</v>
      </c>
      <c r="V3" s="4" t="s">
        <v>89</v>
      </c>
      <c r="W3" s="4" t="s">
        <v>90</v>
      </c>
    </row>
    <row r="4" customFormat="false" ht="15" hidden="false" customHeight="false" outlineLevel="0" collapsed="false">
      <c r="A4" s="4" t="s">
        <v>111</v>
      </c>
      <c r="B4" s="4" t="s">
        <v>112</v>
      </c>
      <c r="C4" s="4" t="s">
        <v>113</v>
      </c>
      <c r="D4" s="4" t="s">
        <v>114</v>
      </c>
      <c r="F4" s="4" t="s">
        <v>115</v>
      </c>
      <c r="G4" s="4" t="n">
        <v>3</v>
      </c>
      <c r="H4" s="4" t="s">
        <v>32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113</v>
      </c>
      <c r="N4" s="4" t="s">
        <v>120</v>
      </c>
      <c r="O4" s="4" t="s">
        <v>121</v>
      </c>
      <c r="P4" s="4" t="s">
        <v>122</v>
      </c>
      <c r="Q4" s="4" t="s">
        <v>108</v>
      </c>
      <c r="R4" s="4" t="s">
        <v>109</v>
      </c>
      <c r="S4" s="4" t="s">
        <v>110</v>
      </c>
      <c r="T4" s="4" t="s">
        <v>103</v>
      </c>
      <c r="U4" s="4" t="s">
        <v>99</v>
      </c>
      <c r="V4" s="4" t="s">
        <v>100</v>
      </c>
      <c r="W4" s="4" t="s">
        <v>101</v>
      </c>
    </row>
    <row r="5" customFormat="false" ht="15" hidden="false" customHeight="false" outlineLevel="0" collapsed="false">
      <c r="A5" s="4" t="s">
        <v>123</v>
      </c>
      <c r="B5" s="4" t="s">
        <v>124</v>
      </c>
      <c r="C5" s="4" t="s">
        <v>125</v>
      </c>
      <c r="D5" s="4" t="s">
        <v>126</v>
      </c>
      <c r="G5" s="4" t="n">
        <v>4</v>
      </c>
      <c r="H5" s="4" t="s">
        <v>127</v>
      </c>
      <c r="I5" s="4" t="s">
        <v>128</v>
      </c>
      <c r="J5" s="4" t="s">
        <v>129</v>
      </c>
      <c r="K5" s="4" t="s">
        <v>130</v>
      </c>
      <c r="L5" s="4" t="s">
        <v>131</v>
      </c>
      <c r="M5" s="4" t="s">
        <v>125</v>
      </c>
      <c r="N5" s="4" t="s">
        <v>132</v>
      </c>
      <c r="O5" s="4" t="s">
        <v>133</v>
      </c>
      <c r="P5" s="4" t="s">
        <v>134</v>
      </c>
      <c r="Q5" s="4" t="s">
        <v>120</v>
      </c>
      <c r="R5" s="4" t="s">
        <v>121</v>
      </c>
      <c r="S5" s="4" t="s">
        <v>122</v>
      </c>
      <c r="T5" s="4" t="s">
        <v>32</v>
      </c>
      <c r="U5" s="4" t="s">
        <v>111</v>
      </c>
      <c r="V5" s="4" t="s">
        <v>112</v>
      </c>
      <c r="W5" s="4" t="s">
        <v>113</v>
      </c>
    </row>
    <row r="6" customFormat="false" ht="15" hidden="false" customHeight="false" outlineLevel="0" collapsed="false">
      <c r="A6" s="4" t="s">
        <v>135</v>
      </c>
      <c r="B6" s="4" t="s">
        <v>136</v>
      </c>
      <c r="C6" s="4" t="s">
        <v>137</v>
      </c>
      <c r="G6" s="4" t="n">
        <v>5</v>
      </c>
      <c r="H6" s="4" t="s">
        <v>138</v>
      </c>
      <c r="J6" s="4" t="s">
        <v>139</v>
      </c>
      <c r="L6" s="4" t="s">
        <v>140</v>
      </c>
      <c r="M6" s="4" t="s">
        <v>137</v>
      </c>
      <c r="N6" s="4" t="s">
        <v>141</v>
      </c>
      <c r="P6" s="4" t="s">
        <v>142</v>
      </c>
      <c r="Q6" s="4" t="s">
        <v>132</v>
      </c>
      <c r="S6" s="4" t="s">
        <v>134</v>
      </c>
      <c r="T6" s="4" t="s">
        <v>127</v>
      </c>
      <c r="U6" s="4" t="s">
        <v>123</v>
      </c>
      <c r="V6" s="4" t="s">
        <v>124</v>
      </c>
      <c r="W6" s="4" t="s">
        <v>125</v>
      </c>
    </row>
    <row r="7" customFormat="false" ht="15" hidden="false" customHeight="false" outlineLevel="0" collapsed="false">
      <c r="A7" s="4" t="s">
        <v>143</v>
      </c>
      <c r="B7" s="4" t="s">
        <v>144</v>
      </c>
      <c r="C7" s="4" t="s">
        <v>145</v>
      </c>
      <c r="M7" s="4" t="s">
        <v>145</v>
      </c>
      <c r="P7" s="4" t="s">
        <v>146</v>
      </c>
      <c r="Q7" s="4" t="s">
        <v>141</v>
      </c>
      <c r="S7" s="4" t="s">
        <v>142</v>
      </c>
      <c r="T7" s="4" t="s">
        <v>138</v>
      </c>
      <c r="U7" s="4" t="s">
        <v>135</v>
      </c>
      <c r="V7" s="4" t="s">
        <v>136</v>
      </c>
      <c r="W7" s="4" t="s">
        <v>137</v>
      </c>
    </row>
    <row r="8" customFormat="false" ht="15" hidden="false" customHeight="false" outlineLevel="0" collapsed="false">
      <c r="A8" s="4" t="s">
        <v>147</v>
      </c>
      <c r="B8" s="4" t="s">
        <v>148</v>
      </c>
      <c r="C8" s="4" t="s">
        <v>149</v>
      </c>
      <c r="M8" s="4" t="s">
        <v>149</v>
      </c>
      <c r="P8" s="4" t="s">
        <v>150</v>
      </c>
      <c r="S8" s="4" t="s">
        <v>146</v>
      </c>
      <c r="U8" s="4" t="s">
        <v>143</v>
      </c>
      <c r="V8" s="4" t="s">
        <v>144</v>
      </c>
      <c r="W8" s="4" t="s">
        <v>145</v>
      </c>
    </row>
    <row r="9" customFormat="false" ht="15" hidden="false" customHeight="false" outlineLevel="0" collapsed="false">
      <c r="A9" s="4" t="s">
        <v>151</v>
      </c>
      <c r="B9" s="4" t="s">
        <v>152</v>
      </c>
      <c r="C9" s="4" t="s">
        <v>153</v>
      </c>
      <c r="P9" s="4" t="s">
        <v>154</v>
      </c>
      <c r="S9" s="4" t="s">
        <v>150</v>
      </c>
      <c r="U9" s="4" t="s">
        <v>147</v>
      </c>
      <c r="V9" s="4" t="s">
        <v>148</v>
      </c>
      <c r="W9" s="4" t="s">
        <v>149</v>
      </c>
    </row>
    <row r="10" customFormat="false" ht="15" hidden="false" customHeight="false" outlineLevel="0" collapsed="false">
      <c r="A10" s="4" t="s">
        <v>155</v>
      </c>
      <c r="B10" s="4" t="s">
        <v>156</v>
      </c>
      <c r="C10" s="4" t="s">
        <v>157</v>
      </c>
      <c r="S10" s="4" t="s">
        <v>154</v>
      </c>
      <c r="U10" s="4" t="s">
        <v>151</v>
      </c>
      <c r="V10" s="4" t="s">
        <v>152</v>
      </c>
    </row>
    <row r="11" customFormat="false" ht="15" hidden="false" customHeight="false" outlineLevel="0" collapsed="false">
      <c r="A11" s="4" t="s">
        <v>158</v>
      </c>
      <c r="B11" s="4" t="s">
        <v>159</v>
      </c>
      <c r="C11" s="4" t="s">
        <v>160</v>
      </c>
      <c r="U11" s="4" t="s">
        <v>155</v>
      </c>
      <c r="V11" s="4" t="s">
        <v>156</v>
      </c>
    </row>
    <row r="12" customFormat="false" ht="15" hidden="false" customHeight="false" outlineLevel="0" collapsed="false">
      <c r="A12" s="4" t="s">
        <v>161</v>
      </c>
      <c r="B12" s="4" t="s">
        <v>162</v>
      </c>
      <c r="U12" s="4" t="s">
        <v>158</v>
      </c>
      <c r="V12" s="4" t="s">
        <v>159</v>
      </c>
    </row>
    <row r="13" customFormat="false" ht="15" hidden="false" customHeight="false" outlineLevel="0" collapsed="false">
      <c r="A13" s="4" t="s">
        <v>163</v>
      </c>
      <c r="B13" s="4" t="s">
        <v>164</v>
      </c>
      <c r="U13" s="4" t="s">
        <v>161</v>
      </c>
      <c r="V13" s="4" t="s">
        <v>162</v>
      </c>
    </row>
    <row r="14" customFormat="false" ht="15" hidden="false" customHeight="false" outlineLevel="0" collapsed="false">
      <c r="A14" s="4" t="s">
        <v>165</v>
      </c>
      <c r="B14" s="4" t="s">
        <v>166</v>
      </c>
      <c r="U14" s="4" t="s">
        <v>163</v>
      </c>
      <c r="V14" s="4" t="s">
        <v>164</v>
      </c>
    </row>
    <row r="15" customFormat="false" ht="15" hidden="false" customHeight="false" outlineLevel="0" collapsed="false">
      <c r="A15" s="4" t="s">
        <v>167</v>
      </c>
      <c r="B15" s="4" t="s">
        <v>168</v>
      </c>
      <c r="U15" s="4" t="s">
        <v>165</v>
      </c>
      <c r="V15" s="4" t="s">
        <v>166</v>
      </c>
    </row>
    <row r="16" customFormat="false" ht="15" hidden="false" customHeight="false" outlineLevel="0" collapsed="false">
      <c r="A16" s="4" t="s">
        <v>169</v>
      </c>
      <c r="B16" s="4" t="s">
        <v>170</v>
      </c>
      <c r="U16" s="4" t="s">
        <v>167</v>
      </c>
      <c r="V16" s="4" t="s">
        <v>168</v>
      </c>
    </row>
    <row r="17" customFormat="false" ht="15" hidden="false" customHeight="false" outlineLevel="0" collapsed="false">
      <c r="A17" s="4" t="s">
        <v>171</v>
      </c>
      <c r="B17" s="4" t="s">
        <v>172</v>
      </c>
      <c r="U17" s="4" t="s">
        <v>169</v>
      </c>
      <c r="V17" s="4" t="s">
        <v>170</v>
      </c>
    </row>
    <row r="18" customFormat="false" ht="15" hidden="false" customHeight="false" outlineLevel="0" collapsed="false">
      <c r="A18" s="4" t="s">
        <v>173</v>
      </c>
      <c r="B18" s="4" t="s">
        <v>174</v>
      </c>
      <c r="U18" s="4" t="s">
        <v>171</v>
      </c>
      <c r="V18" s="4" t="s">
        <v>172</v>
      </c>
    </row>
    <row r="19" customFormat="false" ht="15" hidden="false" customHeight="false" outlineLevel="0" collapsed="false">
      <c r="B19" s="4" t="s">
        <v>175</v>
      </c>
      <c r="U19" s="4" t="s">
        <v>173</v>
      </c>
      <c r="V19" s="4" t="s">
        <v>174</v>
      </c>
    </row>
    <row r="20" customFormat="false" ht="15" hidden="false" customHeight="false" outlineLevel="0" collapsed="false">
      <c r="B20" s="4" t="s">
        <v>176</v>
      </c>
      <c r="V20" s="4" t="s">
        <v>175</v>
      </c>
    </row>
    <row r="21" customFormat="false" ht="15" hidden="false" customHeight="false" outlineLevel="0" collapsed="false">
      <c r="B21" s="4" t="s">
        <v>177</v>
      </c>
      <c r="V21" s="4" t="s">
        <v>176</v>
      </c>
    </row>
    <row r="22" customFormat="false" ht="15" hidden="false" customHeight="false" outlineLevel="0" collapsed="false">
      <c r="B22" s="4" t="s">
        <v>178</v>
      </c>
      <c r="V22" s="4" t="s">
        <v>177</v>
      </c>
    </row>
    <row r="23" customFormat="false" ht="15" hidden="false" customHeight="false" outlineLevel="0" collapsed="false">
      <c r="B23" s="4" t="s">
        <v>179</v>
      </c>
      <c r="V23" s="4" t="s">
        <v>178</v>
      </c>
    </row>
    <row r="24" customFormat="false" ht="15" hidden="false" customHeight="false" outlineLevel="0" collapsed="false">
      <c r="B24" s="4" t="s">
        <v>180</v>
      </c>
      <c r="V24" s="4" t="s">
        <v>179</v>
      </c>
    </row>
    <row r="25" customFormat="false" ht="15" hidden="false" customHeight="false" outlineLevel="0" collapsed="false">
      <c r="B25" s="4" t="s">
        <v>181</v>
      </c>
      <c r="V25" s="4" t="s">
        <v>180</v>
      </c>
    </row>
    <row r="26" customFormat="false" ht="15" hidden="false" customHeight="false" outlineLevel="0" collapsed="false">
      <c r="B26" s="4" t="s">
        <v>182</v>
      </c>
      <c r="V26" s="4" t="s">
        <v>181</v>
      </c>
    </row>
    <row r="27" customFormat="false" ht="15" hidden="false" customHeight="false" outlineLevel="0" collapsed="false">
      <c r="B27" s="4" t="s">
        <v>183</v>
      </c>
      <c r="V27" s="4" t="s">
        <v>182</v>
      </c>
    </row>
    <row r="28" customFormat="false" ht="15" hidden="false" customHeight="false" outlineLevel="0" collapsed="false">
      <c r="V28" s="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26"/>
    <col collapsed="false" customWidth="true" hidden="false" outlineLevel="0" max="17" min="17" style="0" width="16"/>
    <col collapsed="false" customWidth="true" hidden="false" outlineLevel="0" max="18" min="18" style="0" width="26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6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8"/>
    <col collapsed="false" customWidth="true" hidden="false" outlineLevel="0" max="26" min="26" style="0" width="15"/>
    <col collapsed="false" customWidth="true" hidden="false" outlineLevel="0" max="27" min="27" style="0" width="26"/>
    <col collapsed="false" customWidth="true" hidden="false" outlineLevel="0" max="28" min="28" style="0" width="30"/>
    <col collapsed="false" customWidth="true" hidden="false" outlineLevel="0" max="29" min="29" style="0" width="46"/>
    <col collapsed="false" customWidth="true" hidden="false" outlineLevel="0" max="30" min="30" style="0" width="40"/>
    <col collapsed="false" customWidth="true" hidden="false" outlineLevel="0" max="31" min="31" style="0" width="28"/>
    <col collapsed="false" customWidth="true" hidden="true" outlineLevel="0" max="32" min="32" style="0" width="11"/>
  </cols>
  <sheetData>
    <row r="1" customFormat="false" ht="33.75" hidden="false" customHeight="true" outlineLevel="0" collapsed="false">
      <c r="A1" s="13" t="s">
        <v>184</v>
      </c>
      <c r="B1" s="13" t="s">
        <v>185</v>
      </c>
      <c r="C1" s="13" t="s">
        <v>53</v>
      </c>
      <c r="D1" s="13" t="s">
        <v>54</v>
      </c>
      <c r="E1" s="13" t="s">
        <v>186</v>
      </c>
      <c r="F1" s="13" t="s">
        <v>187</v>
      </c>
      <c r="G1" s="13" t="s">
        <v>188</v>
      </c>
      <c r="H1" s="13" t="s">
        <v>59</v>
      </c>
      <c r="I1" s="13" t="s">
        <v>189</v>
      </c>
      <c r="J1" s="13" t="s">
        <v>190</v>
      </c>
      <c r="K1" s="13" t="s">
        <v>60</v>
      </c>
      <c r="L1" s="13" t="s">
        <v>191</v>
      </c>
      <c r="M1" s="13" t="s">
        <v>192</v>
      </c>
      <c r="N1" s="13" t="s">
        <v>29</v>
      </c>
      <c r="O1" s="13" t="s">
        <v>31</v>
      </c>
      <c r="P1" s="13" t="s">
        <v>11</v>
      </c>
      <c r="Q1" s="13" t="s">
        <v>13</v>
      </c>
      <c r="R1" s="13" t="s">
        <v>15</v>
      </c>
      <c r="S1" s="13" t="s">
        <v>36</v>
      </c>
      <c r="T1" s="13" t="s">
        <v>132</v>
      </c>
      <c r="U1" s="13" t="s">
        <v>38</v>
      </c>
      <c r="V1" s="13" t="s">
        <v>40</v>
      </c>
      <c r="W1" s="13" t="s">
        <v>193</v>
      </c>
      <c r="X1" s="13" t="s">
        <v>194</v>
      </c>
      <c r="Y1" s="13" t="s">
        <v>195</v>
      </c>
      <c r="Z1" s="13" t="s">
        <v>196</v>
      </c>
      <c r="AA1" s="13" t="s">
        <v>197</v>
      </c>
      <c r="AB1" s="13" t="s">
        <v>17</v>
      </c>
      <c r="AC1" s="13" t="s">
        <v>198</v>
      </c>
      <c r="AD1" s="13" t="s">
        <v>41</v>
      </c>
      <c r="AE1" s="13" t="s">
        <v>43</v>
      </c>
      <c r="AF1" s="13" t="s">
        <v>199</v>
      </c>
    </row>
    <row r="2" customFormat="false" ht="15" hidden="false" customHeight="false" outlineLevel="0" collapsed="false">
      <c r="A2" s="14" t="n">
        <v>1</v>
      </c>
      <c r="B2" s="15" t="s">
        <v>200</v>
      </c>
      <c r="C2" s="14" t="s">
        <v>111</v>
      </c>
      <c r="D2" s="14" t="s">
        <v>159</v>
      </c>
      <c r="E2" s="15" t="s">
        <v>201</v>
      </c>
      <c r="F2" s="14"/>
      <c r="G2" s="14" t="s">
        <v>202</v>
      </c>
      <c r="H2" s="14" t="s">
        <v>157</v>
      </c>
      <c r="I2" s="15" t="s">
        <v>203</v>
      </c>
      <c r="J2" s="14" t="s">
        <v>102</v>
      </c>
      <c r="K2" s="15" t="s">
        <v>204</v>
      </c>
      <c r="L2" s="16" t="s">
        <v>52</v>
      </c>
      <c r="M2" s="17"/>
      <c r="N2" s="16"/>
      <c r="O2" s="16"/>
      <c r="P2" s="18"/>
      <c r="Q2" s="16"/>
      <c r="R2" s="18"/>
      <c r="S2" s="16"/>
      <c r="T2" s="16"/>
      <c r="U2" s="16"/>
      <c r="V2" s="16"/>
      <c r="W2" s="16"/>
      <c r="X2" s="16"/>
      <c r="Y2" s="16"/>
      <c r="Z2" s="16"/>
      <c r="AA2" s="18"/>
      <c r="AB2" s="18"/>
      <c r="AC2" s="18"/>
      <c r="AD2" s="18"/>
      <c r="AE2" s="18"/>
      <c r="AF2" s="19" t="n">
        <f aca="false">IF($B2="","",IF(AND(Consulta!$B$11="Sim",$L2&lt;&gt;"Sim"),-9999,IF($H2=Consulta!$B$5,-9999,IF(AND(Consulta!$B$3&lt;&gt;"Qualquer",ISNUMBER(SEARCH(Consulta!$B$3,$AA2))),-9999,IF(AND(Consulta!$B$10="Sim",$V2&lt;&gt;"Sim"),-9999,IF(OR(Consulta!$B$3="Qualquer",ISNUMBER(SEARCH(Consulta!$B$3,$P2))),3,0)+IF(OR(Consulta!$B$12="Qualquer",ISNUMBER(SEARCH(Consulta!$B$12,$Q2))),2,0)+IF(OR(Consulta!$B$4="Qualquer",ISNUMBER(SEARCH(Consulta!$B$4,$R2))),3,0)+IF(Consulta!$B$6="Qualquer",0,IF($O2=Consulta!$B$6,2,-1))+IF(Consulta!$B$7="Não",0,IF($U2="Sim",3,IF($U2="Não",-6,0)))+IF(Consulta!$B$8="Qualquer",0,IF($C2=Consulta!$B$8,2,-3))+IF(Consulta!$B$9="Qualquer",0,IF($D2=Consulta!$B$9,2,-1))+IF($N2="",0,$N2)-ROW()/100000)))))</f>
        <v>7.99998</v>
      </c>
    </row>
    <row r="3" customFormat="false" ht="15" hidden="false" customHeight="false" outlineLevel="0" collapsed="false">
      <c r="A3" s="14" t="n">
        <v>1</v>
      </c>
      <c r="B3" s="15" t="s">
        <v>205</v>
      </c>
      <c r="C3" s="14" t="s">
        <v>111</v>
      </c>
      <c r="D3" s="14" t="s">
        <v>159</v>
      </c>
      <c r="E3" s="15" t="s">
        <v>201</v>
      </c>
      <c r="F3" s="14"/>
      <c r="G3" s="14" t="s">
        <v>202</v>
      </c>
      <c r="H3" s="14" t="s">
        <v>157</v>
      </c>
      <c r="I3" s="15" t="s">
        <v>206</v>
      </c>
      <c r="J3" s="14" t="s">
        <v>102</v>
      </c>
      <c r="K3" s="15" t="s">
        <v>204</v>
      </c>
      <c r="L3" s="16" t="s">
        <v>52</v>
      </c>
      <c r="M3" s="17"/>
      <c r="N3" s="16"/>
      <c r="O3" s="16"/>
      <c r="P3" s="18"/>
      <c r="Q3" s="16"/>
      <c r="R3" s="18"/>
      <c r="S3" s="16"/>
      <c r="T3" s="16"/>
      <c r="U3" s="16"/>
      <c r="V3" s="16"/>
      <c r="W3" s="16"/>
      <c r="X3" s="16"/>
      <c r="Y3" s="16"/>
      <c r="Z3" s="16"/>
      <c r="AA3" s="18"/>
      <c r="AB3" s="18"/>
      <c r="AC3" s="18"/>
      <c r="AD3" s="18"/>
      <c r="AE3" s="18"/>
      <c r="AF3" s="19" t="n">
        <f aca="false">IF($B3="","",IF(AND(Consulta!$B$11="Sim",$L3&lt;&gt;"Sim"),-9999,IF($H3=Consulta!$B$5,-9999,IF(AND(Consulta!$B$3&lt;&gt;"Qualquer",ISNUMBER(SEARCH(Consulta!$B$3,$AA3))),-9999,IF(AND(Consulta!$B$10="Sim",$V3&lt;&gt;"Sim"),-9999,IF(OR(Consulta!$B$3="Qualquer",ISNUMBER(SEARCH(Consulta!$B$3,$P3))),3,0)+IF(OR(Consulta!$B$12="Qualquer",ISNUMBER(SEARCH(Consulta!$B$12,$Q3))),2,0)+IF(OR(Consulta!$B$4="Qualquer",ISNUMBER(SEARCH(Consulta!$B$4,$R3))),3,0)+IF(Consulta!$B$6="Qualquer",0,IF($O3=Consulta!$B$6,2,-1))+IF(Consulta!$B$7="Não",0,IF($U3="Sim",3,IF($U3="Não",-6,0)))+IF(Consulta!$B$8="Qualquer",0,IF($C3=Consulta!$B$8,2,-3))+IF(Consulta!$B$9="Qualquer",0,IF($D3=Consulta!$B$9,2,-1))+IF($N3="",0,$N3)-ROW()/100000)))))</f>
        <v>7.99997</v>
      </c>
    </row>
    <row r="4" customFormat="false" ht="15" hidden="false" customHeight="false" outlineLevel="0" collapsed="false">
      <c r="A4" s="14" t="n">
        <v>1</v>
      </c>
      <c r="B4" s="15" t="s">
        <v>207</v>
      </c>
      <c r="C4" s="14" t="s">
        <v>88</v>
      </c>
      <c r="D4" s="14" t="s">
        <v>159</v>
      </c>
      <c r="E4" s="15" t="s">
        <v>208</v>
      </c>
      <c r="F4" s="14"/>
      <c r="G4" s="14" t="s">
        <v>202</v>
      </c>
      <c r="H4" s="14" t="s">
        <v>113</v>
      </c>
      <c r="I4" s="15" t="s">
        <v>209</v>
      </c>
      <c r="J4" s="14" t="s">
        <v>91</v>
      </c>
      <c r="K4" s="15" t="s">
        <v>204</v>
      </c>
      <c r="L4" s="16" t="s">
        <v>52</v>
      </c>
      <c r="M4" s="17"/>
      <c r="N4" s="16"/>
      <c r="O4" s="16"/>
      <c r="P4" s="18"/>
      <c r="Q4" s="16"/>
      <c r="R4" s="18"/>
      <c r="S4" s="16"/>
      <c r="T4" s="16"/>
      <c r="U4" s="16"/>
      <c r="V4" s="16"/>
      <c r="W4" s="16"/>
      <c r="X4" s="16"/>
      <c r="Y4" s="16"/>
      <c r="Z4" s="16"/>
      <c r="AA4" s="18"/>
      <c r="AB4" s="18"/>
      <c r="AC4" s="18"/>
      <c r="AD4" s="18"/>
      <c r="AE4" s="18"/>
      <c r="AF4" s="19" t="n">
        <f aca="false">IF($B4="","",IF(AND(Consulta!$B$11="Sim",$L4&lt;&gt;"Sim"),-9999,IF($H4=Consulta!$B$5,-9999,IF(AND(Consulta!$B$3&lt;&gt;"Qualquer",ISNUMBER(SEARCH(Consulta!$B$3,$AA4))),-9999,IF(AND(Consulta!$B$10="Sim",$V4&lt;&gt;"Sim"),-9999,IF(OR(Consulta!$B$3="Qualquer",ISNUMBER(SEARCH(Consulta!$B$3,$P4))),3,0)+IF(OR(Consulta!$B$12="Qualquer",ISNUMBER(SEARCH(Consulta!$B$12,$Q4))),2,0)+IF(OR(Consulta!$B$4="Qualquer",ISNUMBER(SEARCH(Consulta!$B$4,$R4))),3,0)+IF(Consulta!$B$6="Qualquer",0,IF($O4=Consulta!$B$6,2,-1))+IF(Consulta!$B$7="Não",0,IF($U4="Sim",3,IF($U4="Não",-6,0)))+IF(Consulta!$B$8="Qualquer",0,IF($C4=Consulta!$B$8,2,-3))+IF(Consulta!$B$9="Qualquer",0,IF($D4=Consulta!$B$9,2,-1))+IF($N4="",0,$N4)-ROW()/100000)))))</f>
        <v>7.99996</v>
      </c>
    </row>
    <row r="5" customFormat="false" ht="15" hidden="false" customHeight="false" outlineLevel="0" collapsed="false">
      <c r="A5" s="14" t="n">
        <v>1</v>
      </c>
      <c r="B5" s="15" t="s">
        <v>210</v>
      </c>
      <c r="C5" s="14" t="s">
        <v>111</v>
      </c>
      <c r="D5" s="14" t="s">
        <v>159</v>
      </c>
      <c r="E5" s="15" t="s">
        <v>201</v>
      </c>
      <c r="F5" s="14"/>
      <c r="G5" s="14"/>
      <c r="H5" s="14" t="s">
        <v>157</v>
      </c>
      <c r="I5" s="15" t="s">
        <v>211</v>
      </c>
      <c r="J5" s="14" t="s">
        <v>91</v>
      </c>
      <c r="K5" s="15" t="s">
        <v>204</v>
      </c>
      <c r="L5" s="16" t="s">
        <v>52</v>
      </c>
      <c r="M5" s="17"/>
      <c r="N5" s="16"/>
      <c r="O5" s="16"/>
      <c r="P5" s="18"/>
      <c r="Q5" s="16"/>
      <c r="R5" s="18"/>
      <c r="S5" s="16"/>
      <c r="T5" s="16"/>
      <c r="U5" s="16"/>
      <c r="V5" s="16"/>
      <c r="W5" s="16"/>
      <c r="X5" s="16"/>
      <c r="Y5" s="16"/>
      <c r="Z5" s="16"/>
      <c r="AA5" s="18"/>
      <c r="AB5" s="18"/>
      <c r="AC5" s="18"/>
      <c r="AD5" s="18"/>
      <c r="AE5" s="18"/>
      <c r="AF5" s="19" t="n">
        <f aca="false">IF($B5="","",IF(AND(Consulta!$B$11="Sim",$L5&lt;&gt;"Sim"),-9999,IF($H5=Consulta!$B$5,-9999,IF(AND(Consulta!$B$3&lt;&gt;"Qualquer",ISNUMBER(SEARCH(Consulta!$B$3,$AA5))),-9999,IF(AND(Consulta!$B$10="Sim",$V5&lt;&gt;"Sim"),-9999,IF(OR(Consulta!$B$3="Qualquer",ISNUMBER(SEARCH(Consulta!$B$3,$P5))),3,0)+IF(OR(Consulta!$B$12="Qualquer",ISNUMBER(SEARCH(Consulta!$B$12,$Q5))),2,0)+IF(OR(Consulta!$B$4="Qualquer",ISNUMBER(SEARCH(Consulta!$B$4,$R5))),3,0)+IF(Consulta!$B$6="Qualquer",0,IF($O5=Consulta!$B$6,2,-1))+IF(Consulta!$B$7="Não",0,IF($U5="Sim",3,IF($U5="Não",-6,0)))+IF(Consulta!$B$8="Qualquer",0,IF($C5=Consulta!$B$8,2,-3))+IF(Consulta!$B$9="Qualquer",0,IF($D5=Consulta!$B$9,2,-1))+IF($N5="",0,$N5)-ROW()/100000)))))</f>
        <v>7.99995</v>
      </c>
    </row>
    <row r="6" customFormat="false" ht="23.85" hidden="false" customHeight="false" outlineLevel="0" collapsed="false">
      <c r="A6" s="14" t="n">
        <v>1</v>
      </c>
      <c r="B6" s="15" t="s">
        <v>212</v>
      </c>
      <c r="C6" s="14" t="s">
        <v>88</v>
      </c>
      <c r="D6" s="14" t="s">
        <v>159</v>
      </c>
      <c r="E6" s="15" t="s">
        <v>213</v>
      </c>
      <c r="F6" s="14"/>
      <c r="G6" s="14" t="s">
        <v>214</v>
      </c>
      <c r="H6" s="14" t="s">
        <v>157</v>
      </c>
      <c r="I6" s="15" t="s">
        <v>215</v>
      </c>
      <c r="J6" s="14" t="s">
        <v>102</v>
      </c>
      <c r="K6" s="15" t="s">
        <v>216</v>
      </c>
      <c r="L6" s="16" t="s">
        <v>52</v>
      </c>
      <c r="M6" s="17"/>
      <c r="N6" s="16"/>
      <c r="O6" s="16"/>
      <c r="P6" s="18"/>
      <c r="Q6" s="16"/>
      <c r="R6" s="18"/>
      <c r="S6" s="16"/>
      <c r="T6" s="16"/>
      <c r="U6" s="16"/>
      <c r="V6" s="16"/>
      <c r="W6" s="16"/>
      <c r="X6" s="16"/>
      <c r="Y6" s="16"/>
      <c r="Z6" s="16"/>
      <c r="AA6" s="18"/>
      <c r="AB6" s="18"/>
      <c r="AC6" s="18"/>
      <c r="AD6" s="18"/>
      <c r="AE6" s="18"/>
      <c r="AF6" s="19" t="n">
        <f aca="false">IF($B6="","",IF(AND(Consulta!$B$11="Sim",$L6&lt;&gt;"Sim"),-9999,IF($H6=Consulta!$B$5,-9999,IF(AND(Consulta!$B$3&lt;&gt;"Qualquer",ISNUMBER(SEARCH(Consulta!$B$3,$AA6))),-9999,IF(AND(Consulta!$B$10="Sim",$V6&lt;&gt;"Sim"),-9999,IF(OR(Consulta!$B$3="Qualquer",ISNUMBER(SEARCH(Consulta!$B$3,$P6))),3,0)+IF(OR(Consulta!$B$12="Qualquer",ISNUMBER(SEARCH(Consulta!$B$12,$Q6))),2,0)+IF(OR(Consulta!$B$4="Qualquer",ISNUMBER(SEARCH(Consulta!$B$4,$R6))),3,0)+IF(Consulta!$B$6="Qualquer",0,IF($O6=Consulta!$B$6,2,-1))+IF(Consulta!$B$7="Não",0,IF($U6="Sim",3,IF($U6="Não",-6,0)))+IF(Consulta!$B$8="Qualquer",0,IF($C6=Consulta!$B$8,2,-3))+IF(Consulta!$B$9="Qualquer",0,IF($D6=Consulta!$B$9,2,-1))+IF($N6="",0,$N6)-ROW()/100000)))))</f>
        <v>7.99994</v>
      </c>
    </row>
    <row r="7" customFormat="false" ht="15" hidden="false" customHeight="false" outlineLevel="0" collapsed="false">
      <c r="A7" s="14" t="n">
        <v>1</v>
      </c>
      <c r="B7" s="15" t="s">
        <v>217</v>
      </c>
      <c r="C7" s="14" t="s">
        <v>88</v>
      </c>
      <c r="D7" s="14" t="s">
        <v>159</v>
      </c>
      <c r="E7" s="15" t="s">
        <v>218</v>
      </c>
      <c r="F7" s="14"/>
      <c r="G7" s="14" t="s">
        <v>219</v>
      </c>
      <c r="H7" s="14" t="s">
        <v>90</v>
      </c>
      <c r="I7" s="15" t="s">
        <v>220</v>
      </c>
      <c r="J7" s="14" t="s">
        <v>102</v>
      </c>
      <c r="K7" s="15" t="s">
        <v>204</v>
      </c>
      <c r="L7" s="16" t="s">
        <v>52</v>
      </c>
      <c r="M7" s="17"/>
      <c r="N7" s="16"/>
      <c r="O7" s="16"/>
      <c r="P7" s="18"/>
      <c r="Q7" s="16"/>
      <c r="R7" s="18"/>
      <c r="S7" s="16"/>
      <c r="T7" s="16"/>
      <c r="U7" s="16"/>
      <c r="V7" s="16"/>
      <c r="W7" s="16"/>
      <c r="X7" s="16"/>
      <c r="Y7" s="16"/>
      <c r="Z7" s="16"/>
      <c r="AA7" s="18"/>
      <c r="AB7" s="18"/>
      <c r="AC7" s="18"/>
      <c r="AD7" s="18"/>
      <c r="AE7" s="18"/>
      <c r="AF7" s="19" t="n">
        <f aca="false">IF($B7="","",IF(AND(Consulta!$B$11="Sim",$L7&lt;&gt;"Sim"),-9999,IF($H7=Consulta!$B$5,-9999,IF(AND(Consulta!$B$3&lt;&gt;"Qualquer",ISNUMBER(SEARCH(Consulta!$B$3,$AA7))),-9999,IF(AND(Consulta!$B$10="Sim",$V7&lt;&gt;"Sim"),-9999,IF(OR(Consulta!$B$3="Qualquer",ISNUMBER(SEARCH(Consulta!$B$3,$P7))),3,0)+IF(OR(Consulta!$B$12="Qualquer",ISNUMBER(SEARCH(Consulta!$B$12,$Q7))),2,0)+IF(OR(Consulta!$B$4="Qualquer",ISNUMBER(SEARCH(Consulta!$B$4,$R7))),3,0)+IF(Consulta!$B$6="Qualquer",0,IF($O7=Consulta!$B$6,2,-1))+IF(Consulta!$B$7="Não",0,IF($U7="Sim",3,IF($U7="Não",-6,0)))+IF(Consulta!$B$8="Qualquer",0,IF($C7=Consulta!$B$8,2,-3))+IF(Consulta!$B$9="Qualquer",0,IF($D7=Consulta!$B$9,2,-1))+IF($N7="",0,$N7)-ROW()/100000)))))</f>
        <v>7.99993</v>
      </c>
    </row>
    <row r="8" customFormat="false" ht="15" hidden="false" customHeight="false" outlineLevel="0" collapsed="false">
      <c r="A8" s="14" t="n">
        <v>1</v>
      </c>
      <c r="B8" s="15" t="s">
        <v>221</v>
      </c>
      <c r="C8" s="14" t="s">
        <v>88</v>
      </c>
      <c r="D8" s="14" t="s">
        <v>159</v>
      </c>
      <c r="E8" s="15" t="s">
        <v>208</v>
      </c>
      <c r="F8" s="14"/>
      <c r="G8" s="14"/>
      <c r="H8" s="14" t="s">
        <v>90</v>
      </c>
      <c r="I8" s="15" t="s">
        <v>222</v>
      </c>
      <c r="J8" s="14" t="s">
        <v>102</v>
      </c>
      <c r="K8" s="15" t="s">
        <v>204</v>
      </c>
      <c r="L8" s="16" t="s">
        <v>52</v>
      </c>
      <c r="M8" s="17"/>
      <c r="N8" s="16"/>
      <c r="O8" s="16"/>
      <c r="P8" s="18"/>
      <c r="Q8" s="16"/>
      <c r="R8" s="18"/>
      <c r="S8" s="16"/>
      <c r="T8" s="16"/>
      <c r="U8" s="16"/>
      <c r="V8" s="16"/>
      <c r="W8" s="16"/>
      <c r="X8" s="16"/>
      <c r="Y8" s="16"/>
      <c r="Z8" s="16"/>
      <c r="AA8" s="18"/>
      <c r="AB8" s="18"/>
      <c r="AC8" s="18"/>
      <c r="AD8" s="18"/>
      <c r="AE8" s="18"/>
      <c r="AF8" s="19" t="n">
        <f aca="false">IF($B8="","",IF(AND(Consulta!$B$11="Sim",$L8&lt;&gt;"Sim"),-9999,IF($H8=Consulta!$B$5,-9999,IF(AND(Consulta!$B$3&lt;&gt;"Qualquer",ISNUMBER(SEARCH(Consulta!$B$3,$AA8))),-9999,IF(AND(Consulta!$B$10="Sim",$V8&lt;&gt;"Sim"),-9999,IF(OR(Consulta!$B$3="Qualquer",ISNUMBER(SEARCH(Consulta!$B$3,$P8))),3,0)+IF(OR(Consulta!$B$12="Qualquer",ISNUMBER(SEARCH(Consulta!$B$12,$Q8))),2,0)+IF(OR(Consulta!$B$4="Qualquer",ISNUMBER(SEARCH(Consulta!$B$4,$R8))),3,0)+IF(Consulta!$B$6="Qualquer",0,IF($O8=Consulta!$B$6,2,-1))+IF(Consulta!$B$7="Não",0,IF($U8="Sim",3,IF($U8="Não",-6,0)))+IF(Consulta!$B$8="Qualquer",0,IF($C8=Consulta!$B$8,2,-3))+IF(Consulta!$B$9="Qualquer",0,IF($D8=Consulta!$B$9,2,-1))+IF($N8="",0,$N8)-ROW()/100000)))))</f>
        <v>7.99992</v>
      </c>
    </row>
    <row r="9" customFormat="false" ht="15" hidden="false" customHeight="false" outlineLevel="0" collapsed="false">
      <c r="A9" s="14" t="n">
        <v>1</v>
      </c>
      <c r="B9" s="15" t="s">
        <v>223</v>
      </c>
      <c r="C9" s="14" t="s">
        <v>88</v>
      </c>
      <c r="D9" s="14" t="s">
        <v>159</v>
      </c>
      <c r="E9" s="15" t="s">
        <v>224</v>
      </c>
      <c r="F9" s="14"/>
      <c r="G9" s="14" t="s">
        <v>225</v>
      </c>
      <c r="H9" s="14" t="s">
        <v>90</v>
      </c>
      <c r="I9" s="15"/>
      <c r="J9" s="14" t="s">
        <v>102</v>
      </c>
      <c r="K9" s="15" t="s">
        <v>226</v>
      </c>
      <c r="L9" s="16" t="s">
        <v>52</v>
      </c>
      <c r="M9" s="17"/>
      <c r="N9" s="16"/>
      <c r="O9" s="16"/>
      <c r="P9" s="18"/>
      <c r="Q9" s="16"/>
      <c r="R9" s="18"/>
      <c r="S9" s="16"/>
      <c r="T9" s="16"/>
      <c r="U9" s="16"/>
      <c r="V9" s="16"/>
      <c r="W9" s="16"/>
      <c r="X9" s="16"/>
      <c r="Y9" s="16"/>
      <c r="Z9" s="16"/>
      <c r="AA9" s="18"/>
      <c r="AB9" s="18"/>
      <c r="AC9" s="18"/>
      <c r="AD9" s="18"/>
      <c r="AE9" s="18"/>
      <c r="AF9" s="19" t="n">
        <f aca="false">IF($B9="","",IF(AND(Consulta!$B$11="Sim",$L9&lt;&gt;"Sim"),-9999,IF($H9=Consulta!$B$5,-9999,IF(AND(Consulta!$B$3&lt;&gt;"Qualquer",ISNUMBER(SEARCH(Consulta!$B$3,$AA9))),-9999,IF(AND(Consulta!$B$10="Sim",$V9&lt;&gt;"Sim"),-9999,IF(OR(Consulta!$B$3="Qualquer",ISNUMBER(SEARCH(Consulta!$B$3,$P9))),3,0)+IF(OR(Consulta!$B$12="Qualquer",ISNUMBER(SEARCH(Consulta!$B$12,$Q9))),2,0)+IF(OR(Consulta!$B$4="Qualquer",ISNUMBER(SEARCH(Consulta!$B$4,$R9))),3,0)+IF(Consulta!$B$6="Qualquer",0,IF($O9=Consulta!$B$6,2,-1))+IF(Consulta!$B$7="Não",0,IF($U9="Sim",3,IF($U9="Não",-6,0)))+IF(Consulta!$B$8="Qualquer",0,IF($C9=Consulta!$B$8,2,-3))+IF(Consulta!$B$9="Qualquer",0,IF($D9=Consulta!$B$9,2,-1))+IF($N9="",0,$N9)-ROW()/100000)))))</f>
        <v>7.99991</v>
      </c>
    </row>
    <row r="10" customFormat="false" ht="15" hidden="false" customHeight="false" outlineLevel="0" collapsed="false">
      <c r="A10" s="14" t="n">
        <v>1</v>
      </c>
      <c r="B10" s="15" t="s">
        <v>227</v>
      </c>
      <c r="C10" s="14" t="s">
        <v>151</v>
      </c>
      <c r="D10" s="14" t="s">
        <v>159</v>
      </c>
      <c r="E10" s="15" t="s">
        <v>228</v>
      </c>
      <c r="F10" s="14" t="s">
        <v>229</v>
      </c>
      <c r="G10" s="14" t="s">
        <v>230</v>
      </c>
      <c r="H10" s="14"/>
      <c r="I10" s="15" t="s">
        <v>231</v>
      </c>
      <c r="J10" s="14" t="s">
        <v>102</v>
      </c>
      <c r="K10" s="15" t="s">
        <v>204</v>
      </c>
      <c r="L10" s="16" t="s">
        <v>52</v>
      </c>
      <c r="M10" s="17"/>
      <c r="N10" s="16"/>
      <c r="O10" s="16"/>
      <c r="P10" s="18"/>
      <c r="Q10" s="16"/>
      <c r="R10" s="18"/>
      <c r="S10" s="16"/>
      <c r="T10" s="16"/>
      <c r="U10" s="16"/>
      <c r="V10" s="16"/>
      <c r="W10" s="16"/>
      <c r="X10" s="16"/>
      <c r="Y10" s="16"/>
      <c r="Z10" s="16"/>
      <c r="AA10" s="18"/>
      <c r="AB10" s="18"/>
      <c r="AC10" s="18"/>
      <c r="AD10" s="18"/>
      <c r="AE10" s="18"/>
      <c r="AF10" s="19" t="n">
        <f aca="false">IF($B10="","",IF(AND(Consulta!$B$11="Sim",$L10&lt;&gt;"Sim"),-9999,IF($H10=Consulta!$B$5,-9999,IF(AND(Consulta!$B$3&lt;&gt;"Qualquer",ISNUMBER(SEARCH(Consulta!$B$3,$AA10))),-9999,IF(AND(Consulta!$B$10="Sim",$V10&lt;&gt;"Sim"),-9999,IF(OR(Consulta!$B$3="Qualquer",ISNUMBER(SEARCH(Consulta!$B$3,$P10))),3,0)+IF(OR(Consulta!$B$12="Qualquer",ISNUMBER(SEARCH(Consulta!$B$12,$Q10))),2,0)+IF(OR(Consulta!$B$4="Qualquer",ISNUMBER(SEARCH(Consulta!$B$4,$R10))),3,0)+IF(Consulta!$B$6="Qualquer",0,IF($O10=Consulta!$B$6,2,-1))+IF(Consulta!$B$7="Não",0,IF($U10="Sim",3,IF($U10="Não",-6,0)))+IF(Consulta!$B$8="Qualquer",0,IF($C10=Consulta!$B$8,2,-3))+IF(Consulta!$B$9="Qualquer",0,IF($D10=Consulta!$B$9,2,-1))+IF($N10="",0,$N10)-ROW()/100000)))))</f>
        <v>7.9999</v>
      </c>
    </row>
    <row r="11" customFormat="false" ht="15" hidden="false" customHeight="false" outlineLevel="0" collapsed="false">
      <c r="A11" s="14" t="n">
        <v>1</v>
      </c>
      <c r="B11" s="15" t="s">
        <v>232</v>
      </c>
      <c r="C11" s="14" t="s">
        <v>155</v>
      </c>
      <c r="D11" s="14" t="s">
        <v>159</v>
      </c>
      <c r="E11" s="15" t="s">
        <v>210</v>
      </c>
      <c r="F11" s="14" t="s">
        <v>233</v>
      </c>
      <c r="G11" s="14" t="s">
        <v>234</v>
      </c>
      <c r="H11" s="14"/>
      <c r="I11" s="15"/>
      <c r="J11" s="14" t="s">
        <v>91</v>
      </c>
      <c r="K11" s="15" t="s">
        <v>204</v>
      </c>
      <c r="L11" s="16" t="s">
        <v>52</v>
      </c>
      <c r="M11" s="17"/>
      <c r="N11" s="16"/>
      <c r="O11" s="16"/>
      <c r="P11" s="18"/>
      <c r="Q11" s="16"/>
      <c r="R11" s="18"/>
      <c r="S11" s="16"/>
      <c r="T11" s="16"/>
      <c r="U11" s="16"/>
      <c r="V11" s="16"/>
      <c r="W11" s="16"/>
      <c r="X11" s="16"/>
      <c r="Y11" s="16"/>
      <c r="Z11" s="16"/>
      <c r="AA11" s="18"/>
      <c r="AB11" s="18"/>
      <c r="AC11" s="18"/>
      <c r="AD11" s="18"/>
      <c r="AE11" s="18"/>
      <c r="AF11" s="19" t="n">
        <f aca="false">IF($B11="","",IF(AND(Consulta!$B$11="Sim",$L11&lt;&gt;"Sim"),-9999,IF($H11=Consulta!$B$5,-9999,IF(AND(Consulta!$B$3&lt;&gt;"Qualquer",ISNUMBER(SEARCH(Consulta!$B$3,$AA11))),-9999,IF(AND(Consulta!$B$10="Sim",$V11&lt;&gt;"Sim"),-9999,IF(OR(Consulta!$B$3="Qualquer",ISNUMBER(SEARCH(Consulta!$B$3,$P11))),3,0)+IF(OR(Consulta!$B$12="Qualquer",ISNUMBER(SEARCH(Consulta!$B$12,$Q11))),2,0)+IF(OR(Consulta!$B$4="Qualquer",ISNUMBER(SEARCH(Consulta!$B$4,$R11))),3,0)+IF(Consulta!$B$6="Qualquer",0,IF($O11=Consulta!$B$6,2,-1))+IF(Consulta!$B$7="Não",0,IF($U11="Sim",3,IF($U11="Não",-6,0)))+IF(Consulta!$B$8="Qualquer",0,IF($C11=Consulta!$B$8,2,-3))+IF(Consulta!$B$9="Qualquer",0,IF($D11=Consulta!$B$9,2,-1))+IF($N11="",0,$N11)-ROW()/100000)))))</f>
        <v>7.99989</v>
      </c>
    </row>
    <row r="12" customFormat="false" ht="15" hidden="false" customHeight="false" outlineLevel="0" collapsed="false">
      <c r="A12" s="14" t="n">
        <v>1</v>
      </c>
      <c r="B12" s="15" t="s">
        <v>235</v>
      </c>
      <c r="C12" s="14" t="s">
        <v>143</v>
      </c>
      <c r="D12" s="14" t="s">
        <v>159</v>
      </c>
      <c r="E12" s="15" t="s">
        <v>210</v>
      </c>
      <c r="F12" s="14" t="s">
        <v>236</v>
      </c>
      <c r="G12" s="14" t="s">
        <v>237</v>
      </c>
      <c r="H12" s="14"/>
      <c r="I12" s="15"/>
      <c r="J12" s="14" t="s">
        <v>114</v>
      </c>
      <c r="K12" s="15" t="s">
        <v>204</v>
      </c>
      <c r="L12" s="16" t="s">
        <v>52</v>
      </c>
      <c r="M12" s="17"/>
      <c r="N12" s="16"/>
      <c r="O12" s="16"/>
      <c r="P12" s="18"/>
      <c r="Q12" s="16"/>
      <c r="R12" s="18"/>
      <c r="S12" s="16"/>
      <c r="T12" s="16"/>
      <c r="U12" s="16"/>
      <c r="V12" s="16"/>
      <c r="W12" s="16"/>
      <c r="X12" s="16"/>
      <c r="Y12" s="16"/>
      <c r="Z12" s="16"/>
      <c r="AA12" s="18"/>
      <c r="AB12" s="18"/>
      <c r="AC12" s="18"/>
      <c r="AD12" s="18"/>
      <c r="AE12" s="18"/>
      <c r="AF12" s="19" t="n">
        <f aca="false">IF($B12="","",IF(AND(Consulta!$B$11="Sim",$L12&lt;&gt;"Sim"),-9999,IF($H12=Consulta!$B$5,-9999,IF(AND(Consulta!$B$3&lt;&gt;"Qualquer",ISNUMBER(SEARCH(Consulta!$B$3,$AA12))),-9999,IF(AND(Consulta!$B$10="Sim",$V12&lt;&gt;"Sim"),-9999,IF(OR(Consulta!$B$3="Qualquer",ISNUMBER(SEARCH(Consulta!$B$3,$P12))),3,0)+IF(OR(Consulta!$B$12="Qualquer",ISNUMBER(SEARCH(Consulta!$B$12,$Q12))),2,0)+IF(OR(Consulta!$B$4="Qualquer",ISNUMBER(SEARCH(Consulta!$B$4,$R12))),3,0)+IF(Consulta!$B$6="Qualquer",0,IF($O12=Consulta!$B$6,2,-1))+IF(Consulta!$B$7="Não",0,IF($U12="Sim",3,IF($U12="Não",-6,0)))+IF(Consulta!$B$8="Qualquer",0,IF($C12=Consulta!$B$8,2,-3))+IF(Consulta!$B$9="Qualquer",0,IF($D12=Consulta!$B$9,2,-1))+IF($N12="",0,$N12)-ROW()/100000)))))</f>
        <v>7.99988</v>
      </c>
    </row>
    <row r="13" customFormat="false" ht="15" hidden="false" customHeight="false" outlineLevel="0" collapsed="false">
      <c r="A13" s="14" t="n">
        <v>1</v>
      </c>
      <c r="B13" s="15" t="s">
        <v>238</v>
      </c>
      <c r="C13" s="14" t="s">
        <v>163</v>
      </c>
      <c r="D13" s="14" t="s">
        <v>159</v>
      </c>
      <c r="E13" s="15" t="s">
        <v>201</v>
      </c>
      <c r="F13" s="14"/>
      <c r="G13" s="14" t="s">
        <v>239</v>
      </c>
      <c r="H13" s="14" t="s">
        <v>157</v>
      </c>
      <c r="I13" s="15"/>
      <c r="J13" s="14" t="s">
        <v>91</v>
      </c>
      <c r="K13" s="15" t="s">
        <v>204</v>
      </c>
      <c r="L13" s="16" t="s">
        <v>52</v>
      </c>
      <c r="M13" s="17"/>
      <c r="N13" s="16"/>
      <c r="O13" s="16"/>
      <c r="P13" s="18"/>
      <c r="Q13" s="16"/>
      <c r="R13" s="18"/>
      <c r="S13" s="16"/>
      <c r="T13" s="16"/>
      <c r="U13" s="16"/>
      <c r="V13" s="16"/>
      <c r="W13" s="16"/>
      <c r="X13" s="16"/>
      <c r="Y13" s="16"/>
      <c r="Z13" s="16"/>
      <c r="AA13" s="18"/>
      <c r="AB13" s="18"/>
      <c r="AC13" s="18"/>
      <c r="AD13" s="18"/>
      <c r="AE13" s="18"/>
      <c r="AF13" s="19" t="n">
        <f aca="false">IF($B13="","",IF(AND(Consulta!$B$11="Sim",$L13&lt;&gt;"Sim"),-9999,IF($H13=Consulta!$B$5,-9999,IF(AND(Consulta!$B$3&lt;&gt;"Qualquer",ISNUMBER(SEARCH(Consulta!$B$3,$AA13))),-9999,IF(AND(Consulta!$B$10="Sim",$V13&lt;&gt;"Sim"),-9999,IF(OR(Consulta!$B$3="Qualquer",ISNUMBER(SEARCH(Consulta!$B$3,$P13))),3,0)+IF(OR(Consulta!$B$12="Qualquer",ISNUMBER(SEARCH(Consulta!$B$12,$Q13))),2,0)+IF(OR(Consulta!$B$4="Qualquer",ISNUMBER(SEARCH(Consulta!$B$4,$R13))),3,0)+IF(Consulta!$B$6="Qualquer",0,IF($O13=Consulta!$B$6,2,-1))+IF(Consulta!$B$7="Não",0,IF($U13="Sim",3,IF($U13="Não",-6,0)))+IF(Consulta!$B$8="Qualquer",0,IF($C13=Consulta!$B$8,2,-3))+IF(Consulta!$B$9="Qualquer",0,IF($D13=Consulta!$B$9,2,-1))+IF($N13="",0,$N13)-ROW()/100000)))))</f>
        <v>7.99987</v>
      </c>
    </row>
    <row r="14" customFormat="false" ht="15" hidden="false" customHeight="false" outlineLevel="0" collapsed="false">
      <c r="A14" s="14" t="n">
        <v>1</v>
      </c>
      <c r="B14" s="15" t="s">
        <v>240</v>
      </c>
      <c r="C14" s="14" t="s">
        <v>111</v>
      </c>
      <c r="D14" s="14" t="s">
        <v>159</v>
      </c>
      <c r="E14" s="15" t="s">
        <v>240</v>
      </c>
      <c r="F14" s="14"/>
      <c r="G14" s="14"/>
      <c r="H14" s="14" t="s">
        <v>157</v>
      </c>
      <c r="I14" s="15" t="s">
        <v>211</v>
      </c>
      <c r="J14" s="14" t="s">
        <v>91</v>
      </c>
      <c r="K14" s="15" t="s">
        <v>226</v>
      </c>
      <c r="L14" s="16" t="s">
        <v>52</v>
      </c>
      <c r="M14" s="17"/>
      <c r="N14" s="16"/>
      <c r="O14" s="16"/>
      <c r="P14" s="18"/>
      <c r="Q14" s="16"/>
      <c r="R14" s="18"/>
      <c r="S14" s="16"/>
      <c r="T14" s="16"/>
      <c r="U14" s="16"/>
      <c r="V14" s="16"/>
      <c r="W14" s="16"/>
      <c r="X14" s="16"/>
      <c r="Y14" s="16"/>
      <c r="Z14" s="16"/>
      <c r="AA14" s="18"/>
      <c r="AB14" s="18"/>
      <c r="AC14" s="18"/>
      <c r="AD14" s="18"/>
      <c r="AE14" s="18"/>
      <c r="AF14" s="19" t="n">
        <f aca="false">IF($B14="","",IF(AND(Consulta!$B$11="Sim",$L14&lt;&gt;"Sim"),-9999,IF($H14=Consulta!$B$5,-9999,IF(AND(Consulta!$B$3&lt;&gt;"Qualquer",ISNUMBER(SEARCH(Consulta!$B$3,$AA14))),-9999,IF(AND(Consulta!$B$10="Sim",$V14&lt;&gt;"Sim"),-9999,IF(OR(Consulta!$B$3="Qualquer",ISNUMBER(SEARCH(Consulta!$B$3,$P14))),3,0)+IF(OR(Consulta!$B$12="Qualquer",ISNUMBER(SEARCH(Consulta!$B$12,$Q14))),2,0)+IF(OR(Consulta!$B$4="Qualquer",ISNUMBER(SEARCH(Consulta!$B$4,$R14))),3,0)+IF(Consulta!$B$6="Qualquer",0,IF($O14=Consulta!$B$6,2,-1))+IF(Consulta!$B$7="Não",0,IF($U14="Sim",3,IF($U14="Não",-6,0)))+IF(Consulta!$B$8="Qualquer",0,IF($C14=Consulta!$B$8,2,-3))+IF(Consulta!$B$9="Qualquer",0,IF($D14=Consulta!$B$9,2,-1))+IF($N14="",0,$N14)-ROW()/100000)))))</f>
        <v>7.99986</v>
      </c>
    </row>
    <row r="15" customFormat="false" ht="15" hidden="false" customHeight="false" outlineLevel="0" collapsed="false">
      <c r="A15" s="14" t="n">
        <v>1</v>
      </c>
      <c r="B15" s="15" t="s">
        <v>241</v>
      </c>
      <c r="C15" s="14" t="s">
        <v>161</v>
      </c>
      <c r="D15" s="14" t="s">
        <v>159</v>
      </c>
      <c r="E15" s="15" t="s">
        <v>242</v>
      </c>
      <c r="F15" s="14" t="s">
        <v>243</v>
      </c>
      <c r="G15" s="14" t="s">
        <v>244</v>
      </c>
      <c r="H15" s="14" t="s">
        <v>157</v>
      </c>
      <c r="I15" s="15"/>
      <c r="J15" s="14" t="s">
        <v>102</v>
      </c>
      <c r="K15" s="15" t="s">
        <v>226</v>
      </c>
      <c r="L15" s="16" t="s">
        <v>52</v>
      </c>
      <c r="M15" s="17"/>
      <c r="N15" s="16"/>
      <c r="O15" s="16"/>
      <c r="P15" s="18"/>
      <c r="Q15" s="16"/>
      <c r="R15" s="18"/>
      <c r="S15" s="16"/>
      <c r="T15" s="16"/>
      <c r="U15" s="16"/>
      <c r="V15" s="16"/>
      <c r="W15" s="16"/>
      <c r="X15" s="16"/>
      <c r="Y15" s="16"/>
      <c r="Z15" s="16"/>
      <c r="AA15" s="18"/>
      <c r="AB15" s="18"/>
      <c r="AC15" s="18"/>
      <c r="AD15" s="18"/>
      <c r="AE15" s="18"/>
      <c r="AF15" s="19" t="n">
        <f aca="false">IF($B15="","",IF(AND(Consulta!$B$11="Sim",$L15&lt;&gt;"Sim"),-9999,IF($H15=Consulta!$B$5,-9999,IF(AND(Consulta!$B$3&lt;&gt;"Qualquer",ISNUMBER(SEARCH(Consulta!$B$3,$AA15))),-9999,IF(AND(Consulta!$B$10="Sim",$V15&lt;&gt;"Sim"),-9999,IF(OR(Consulta!$B$3="Qualquer",ISNUMBER(SEARCH(Consulta!$B$3,$P15))),3,0)+IF(OR(Consulta!$B$12="Qualquer",ISNUMBER(SEARCH(Consulta!$B$12,$Q15))),2,0)+IF(OR(Consulta!$B$4="Qualquer",ISNUMBER(SEARCH(Consulta!$B$4,$R15))),3,0)+IF(Consulta!$B$6="Qualquer",0,IF($O15=Consulta!$B$6,2,-1))+IF(Consulta!$B$7="Não",0,IF($U15="Sim",3,IF($U15="Não",-6,0)))+IF(Consulta!$B$8="Qualquer",0,IF($C15=Consulta!$B$8,2,-3))+IF(Consulta!$B$9="Qualquer",0,IF($D15=Consulta!$B$9,2,-1))+IF($N15="",0,$N15)-ROW()/100000)))))</f>
        <v>7.99985</v>
      </c>
    </row>
    <row r="16" customFormat="false" ht="15" hidden="false" customHeight="false" outlineLevel="0" collapsed="false">
      <c r="A16" s="14" t="n">
        <v>1</v>
      </c>
      <c r="B16" s="15" t="s">
        <v>245</v>
      </c>
      <c r="C16" s="14" t="s">
        <v>165</v>
      </c>
      <c r="D16" s="14" t="s">
        <v>159</v>
      </c>
      <c r="E16" s="15" t="s">
        <v>246</v>
      </c>
      <c r="F16" s="14"/>
      <c r="G16" s="14" t="s">
        <v>247</v>
      </c>
      <c r="H16" s="14" t="s">
        <v>149</v>
      </c>
      <c r="I16" s="15"/>
      <c r="J16" s="14" t="s">
        <v>91</v>
      </c>
      <c r="K16" s="15" t="s">
        <v>204</v>
      </c>
      <c r="L16" s="16" t="s">
        <v>52</v>
      </c>
      <c r="M16" s="17"/>
      <c r="N16" s="16"/>
      <c r="O16" s="16"/>
      <c r="P16" s="18"/>
      <c r="Q16" s="16"/>
      <c r="R16" s="18"/>
      <c r="S16" s="16"/>
      <c r="T16" s="16"/>
      <c r="U16" s="16"/>
      <c r="V16" s="16"/>
      <c r="W16" s="16"/>
      <c r="X16" s="16"/>
      <c r="Y16" s="16"/>
      <c r="Z16" s="16"/>
      <c r="AA16" s="18"/>
      <c r="AB16" s="18"/>
      <c r="AC16" s="18"/>
      <c r="AD16" s="18"/>
      <c r="AE16" s="18"/>
      <c r="AF16" s="19" t="n">
        <f aca="false">IF($B16="","",IF(AND(Consulta!$B$11="Sim",$L16&lt;&gt;"Sim"),-9999,IF($H16=Consulta!$B$5,-9999,IF(AND(Consulta!$B$3&lt;&gt;"Qualquer",ISNUMBER(SEARCH(Consulta!$B$3,$AA16))),-9999,IF(AND(Consulta!$B$10="Sim",$V16&lt;&gt;"Sim"),-9999,IF(OR(Consulta!$B$3="Qualquer",ISNUMBER(SEARCH(Consulta!$B$3,$P16))),3,0)+IF(OR(Consulta!$B$12="Qualquer",ISNUMBER(SEARCH(Consulta!$B$12,$Q16))),2,0)+IF(OR(Consulta!$B$4="Qualquer",ISNUMBER(SEARCH(Consulta!$B$4,$R16))),3,0)+IF(Consulta!$B$6="Qualquer",0,IF($O16=Consulta!$B$6,2,-1))+IF(Consulta!$B$7="Não",0,IF($U16="Sim",3,IF($U16="Não",-6,0)))+IF(Consulta!$B$8="Qualquer",0,IF($C16=Consulta!$B$8,2,-3))+IF(Consulta!$B$9="Qualquer",0,IF($D16=Consulta!$B$9,2,-1))+IF($N16="",0,$N16)-ROW()/100000)))))</f>
        <v>7.99984</v>
      </c>
    </row>
    <row r="17" customFormat="false" ht="23.85" hidden="false" customHeight="false" outlineLevel="0" collapsed="false">
      <c r="A17" s="14" t="n">
        <v>2</v>
      </c>
      <c r="B17" s="15" t="s">
        <v>248</v>
      </c>
      <c r="C17" s="14" t="s">
        <v>88</v>
      </c>
      <c r="D17" s="14" t="s">
        <v>112</v>
      </c>
      <c r="E17" s="15" t="s">
        <v>249</v>
      </c>
      <c r="F17" s="14"/>
      <c r="G17" s="14" t="s">
        <v>250</v>
      </c>
      <c r="H17" s="14" t="s">
        <v>90</v>
      </c>
      <c r="I17" s="15" t="s">
        <v>251</v>
      </c>
      <c r="J17" s="14" t="s">
        <v>102</v>
      </c>
      <c r="K17" s="15" t="s">
        <v>252</v>
      </c>
      <c r="L17" s="16" t="s">
        <v>52</v>
      </c>
      <c r="M17" s="17"/>
      <c r="N17" s="16"/>
      <c r="O17" s="16"/>
      <c r="P17" s="18"/>
      <c r="Q17" s="16"/>
      <c r="R17" s="18"/>
      <c r="S17" s="16"/>
      <c r="T17" s="16"/>
      <c r="U17" s="16"/>
      <c r="V17" s="16"/>
      <c r="W17" s="16"/>
      <c r="X17" s="16"/>
      <c r="Y17" s="16"/>
      <c r="Z17" s="16"/>
      <c r="AA17" s="18"/>
      <c r="AB17" s="18"/>
      <c r="AC17" s="18"/>
      <c r="AD17" s="18"/>
      <c r="AE17" s="18"/>
      <c r="AF17" s="19" t="n">
        <f aca="false">IF($B17="","",IF(AND(Consulta!$B$11="Sim",$L17&lt;&gt;"Sim"),-9999,IF($H17=Consulta!$B$5,-9999,IF(AND(Consulta!$B$3&lt;&gt;"Qualquer",ISNUMBER(SEARCH(Consulta!$B$3,$AA17))),-9999,IF(AND(Consulta!$B$10="Sim",$V17&lt;&gt;"Sim"),-9999,IF(OR(Consulta!$B$3="Qualquer",ISNUMBER(SEARCH(Consulta!$B$3,$P17))),3,0)+IF(OR(Consulta!$B$12="Qualquer",ISNUMBER(SEARCH(Consulta!$B$12,$Q17))),2,0)+IF(OR(Consulta!$B$4="Qualquer",ISNUMBER(SEARCH(Consulta!$B$4,$R17))),3,0)+IF(Consulta!$B$6="Qualquer",0,IF($O17=Consulta!$B$6,2,-1))+IF(Consulta!$B$7="Não",0,IF($U17="Sim",3,IF($U17="Não",-6,0)))+IF(Consulta!$B$8="Qualquer",0,IF($C17=Consulta!$B$8,2,-3))+IF(Consulta!$B$9="Qualquer",0,IF($D17=Consulta!$B$9,2,-1))+IF($N17="",0,$N17)-ROW()/100000)))))</f>
        <v>7.99983</v>
      </c>
    </row>
    <row r="18" customFormat="false" ht="15" hidden="false" customHeight="false" outlineLevel="0" collapsed="false">
      <c r="A18" s="14" t="n">
        <v>2</v>
      </c>
      <c r="B18" s="15" t="s">
        <v>253</v>
      </c>
      <c r="C18" s="14" t="s">
        <v>88</v>
      </c>
      <c r="D18" s="14" t="s">
        <v>112</v>
      </c>
      <c r="E18" s="15" t="s">
        <v>254</v>
      </c>
      <c r="F18" s="14"/>
      <c r="G18" s="14" t="s">
        <v>250</v>
      </c>
      <c r="H18" s="14" t="s">
        <v>90</v>
      </c>
      <c r="I18" s="15"/>
      <c r="J18" s="14" t="s">
        <v>102</v>
      </c>
      <c r="K18" s="15" t="s">
        <v>255</v>
      </c>
      <c r="L18" s="16" t="s">
        <v>52</v>
      </c>
      <c r="M18" s="17"/>
      <c r="N18" s="16"/>
      <c r="O18" s="16"/>
      <c r="P18" s="18"/>
      <c r="Q18" s="16"/>
      <c r="R18" s="18"/>
      <c r="S18" s="16"/>
      <c r="T18" s="16"/>
      <c r="U18" s="16"/>
      <c r="V18" s="16"/>
      <c r="W18" s="16"/>
      <c r="X18" s="16"/>
      <c r="Y18" s="16"/>
      <c r="Z18" s="16"/>
      <c r="AA18" s="18"/>
      <c r="AB18" s="18"/>
      <c r="AC18" s="18"/>
      <c r="AD18" s="18"/>
      <c r="AE18" s="18"/>
      <c r="AF18" s="19" t="n">
        <f aca="false">IF($B18="","",IF(AND(Consulta!$B$11="Sim",$L18&lt;&gt;"Sim"),-9999,IF($H18=Consulta!$B$5,-9999,IF(AND(Consulta!$B$3&lt;&gt;"Qualquer",ISNUMBER(SEARCH(Consulta!$B$3,$AA18))),-9999,IF(AND(Consulta!$B$10="Sim",$V18&lt;&gt;"Sim"),-9999,IF(OR(Consulta!$B$3="Qualquer",ISNUMBER(SEARCH(Consulta!$B$3,$P18))),3,0)+IF(OR(Consulta!$B$12="Qualquer",ISNUMBER(SEARCH(Consulta!$B$12,$Q18))),2,0)+IF(OR(Consulta!$B$4="Qualquer",ISNUMBER(SEARCH(Consulta!$B$4,$R18))),3,0)+IF(Consulta!$B$6="Qualquer",0,IF($O18=Consulta!$B$6,2,-1))+IF(Consulta!$B$7="Não",0,IF($U18="Sim",3,IF($U18="Não",-6,0)))+IF(Consulta!$B$8="Qualquer",0,IF($C18=Consulta!$B$8,2,-3))+IF(Consulta!$B$9="Qualquer",0,IF($D18=Consulta!$B$9,2,-1))+IF($N18="",0,$N18)-ROW()/100000)))))</f>
        <v>7.99982</v>
      </c>
    </row>
    <row r="19" customFormat="false" ht="15" hidden="false" customHeight="false" outlineLevel="0" collapsed="false">
      <c r="A19" s="14" t="n">
        <v>2</v>
      </c>
      <c r="B19" s="15" t="s">
        <v>256</v>
      </c>
      <c r="C19" s="14" t="s">
        <v>167</v>
      </c>
      <c r="D19" s="14" t="s">
        <v>112</v>
      </c>
      <c r="E19" s="15" t="s">
        <v>249</v>
      </c>
      <c r="F19" s="14"/>
      <c r="G19" s="14"/>
      <c r="H19" s="14"/>
      <c r="I19" s="15"/>
      <c r="J19" s="14" t="s">
        <v>91</v>
      </c>
      <c r="K19" s="15" t="s">
        <v>255</v>
      </c>
      <c r="L19" s="16" t="s">
        <v>52</v>
      </c>
      <c r="M19" s="17"/>
      <c r="N19" s="16"/>
      <c r="O19" s="16"/>
      <c r="P19" s="18"/>
      <c r="Q19" s="16"/>
      <c r="R19" s="18"/>
      <c r="S19" s="16"/>
      <c r="T19" s="16"/>
      <c r="U19" s="16"/>
      <c r="V19" s="16"/>
      <c r="W19" s="16"/>
      <c r="X19" s="16"/>
      <c r="Y19" s="16"/>
      <c r="Z19" s="16"/>
      <c r="AA19" s="18"/>
      <c r="AB19" s="18"/>
      <c r="AC19" s="18"/>
      <c r="AD19" s="18"/>
      <c r="AE19" s="18"/>
      <c r="AF19" s="19" t="n">
        <f aca="false">IF($B19="","",IF(AND(Consulta!$B$11="Sim",$L19&lt;&gt;"Sim"),-9999,IF($H19=Consulta!$B$5,-9999,IF(AND(Consulta!$B$3&lt;&gt;"Qualquer",ISNUMBER(SEARCH(Consulta!$B$3,$AA19))),-9999,IF(AND(Consulta!$B$10="Sim",$V19&lt;&gt;"Sim"),-9999,IF(OR(Consulta!$B$3="Qualquer",ISNUMBER(SEARCH(Consulta!$B$3,$P19))),3,0)+IF(OR(Consulta!$B$12="Qualquer",ISNUMBER(SEARCH(Consulta!$B$12,$Q19))),2,0)+IF(OR(Consulta!$B$4="Qualquer",ISNUMBER(SEARCH(Consulta!$B$4,$R19))),3,0)+IF(Consulta!$B$6="Qualquer",0,IF($O19=Consulta!$B$6,2,-1))+IF(Consulta!$B$7="Não",0,IF($U19="Sim",3,IF($U19="Não",-6,0)))+IF(Consulta!$B$8="Qualquer",0,IF($C19=Consulta!$B$8,2,-3))+IF(Consulta!$B$9="Qualquer",0,IF($D19=Consulta!$B$9,2,-1))+IF($N19="",0,$N19)-ROW()/100000)))))</f>
        <v>7.99981</v>
      </c>
    </row>
    <row r="20" customFormat="false" ht="15" hidden="false" customHeight="false" outlineLevel="0" collapsed="false">
      <c r="A20" s="14" t="n">
        <v>2</v>
      </c>
      <c r="B20" s="15" t="s">
        <v>257</v>
      </c>
      <c r="C20" s="14" t="s">
        <v>88</v>
      </c>
      <c r="D20" s="14" t="s">
        <v>112</v>
      </c>
      <c r="E20" s="15" t="s">
        <v>258</v>
      </c>
      <c r="F20" s="14"/>
      <c r="G20" s="14" t="s">
        <v>259</v>
      </c>
      <c r="H20" s="14" t="s">
        <v>101</v>
      </c>
      <c r="I20" s="15" t="s">
        <v>260</v>
      </c>
      <c r="J20" s="14" t="s">
        <v>102</v>
      </c>
      <c r="K20" s="15" t="s">
        <v>261</v>
      </c>
      <c r="L20" s="16" t="s">
        <v>52</v>
      </c>
      <c r="M20" s="17"/>
      <c r="N20" s="16"/>
      <c r="O20" s="16"/>
      <c r="P20" s="18"/>
      <c r="Q20" s="16"/>
      <c r="R20" s="18"/>
      <c r="S20" s="16"/>
      <c r="T20" s="16"/>
      <c r="U20" s="16"/>
      <c r="V20" s="16"/>
      <c r="W20" s="16"/>
      <c r="X20" s="16"/>
      <c r="Y20" s="16"/>
      <c r="Z20" s="16"/>
      <c r="AA20" s="18"/>
      <c r="AB20" s="18"/>
      <c r="AC20" s="18"/>
      <c r="AD20" s="18"/>
      <c r="AE20" s="18"/>
      <c r="AF20" s="19" t="n">
        <f aca="false">IF($B20="","",IF(AND(Consulta!$B$11="Sim",$L20&lt;&gt;"Sim"),-9999,IF($H20=Consulta!$B$5,-9999,IF(AND(Consulta!$B$3&lt;&gt;"Qualquer",ISNUMBER(SEARCH(Consulta!$B$3,$AA20))),-9999,IF(AND(Consulta!$B$10="Sim",$V20&lt;&gt;"Sim"),-9999,IF(OR(Consulta!$B$3="Qualquer",ISNUMBER(SEARCH(Consulta!$B$3,$P20))),3,0)+IF(OR(Consulta!$B$12="Qualquer",ISNUMBER(SEARCH(Consulta!$B$12,$Q20))),2,0)+IF(OR(Consulta!$B$4="Qualquer",ISNUMBER(SEARCH(Consulta!$B$4,$R20))),3,0)+IF(Consulta!$B$6="Qualquer",0,IF($O20=Consulta!$B$6,2,-1))+IF(Consulta!$B$7="Não",0,IF($U20="Sim",3,IF($U20="Não",-6,0)))+IF(Consulta!$B$8="Qualquer",0,IF($C20=Consulta!$B$8,2,-3))+IF(Consulta!$B$9="Qualquer",0,IF($D20=Consulta!$B$9,2,-1))+IF($N20="",0,$N20)-ROW()/100000)))))</f>
        <v>7.9998</v>
      </c>
    </row>
    <row r="21" customFormat="false" ht="23.85" hidden="false" customHeight="false" outlineLevel="0" collapsed="false">
      <c r="A21" s="14" t="n">
        <v>2</v>
      </c>
      <c r="B21" s="15" t="s">
        <v>262</v>
      </c>
      <c r="C21" s="14" t="s">
        <v>158</v>
      </c>
      <c r="D21" s="14" t="s">
        <v>112</v>
      </c>
      <c r="E21" s="15" t="s">
        <v>263</v>
      </c>
      <c r="F21" s="14" t="s">
        <v>264</v>
      </c>
      <c r="G21" s="14" t="s">
        <v>265</v>
      </c>
      <c r="H21" s="14" t="s">
        <v>157</v>
      </c>
      <c r="I21" s="15" t="s">
        <v>266</v>
      </c>
      <c r="J21" s="14" t="s">
        <v>114</v>
      </c>
      <c r="K21" s="15" t="s">
        <v>267</v>
      </c>
      <c r="L21" s="16" t="s">
        <v>52</v>
      </c>
      <c r="M21" s="17"/>
      <c r="N21" s="16"/>
      <c r="O21" s="16"/>
      <c r="P21" s="18"/>
      <c r="Q21" s="16"/>
      <c r="R21" s="18"/>
      <c r="S21" s="16"/>
      <c r="T21" s="16"/>
      <c r="U21" s="16"/>
      <c r="V21" s="16"/>
      <c r="W21" s="16"/>
      <c r="X21" s="16"/>
      <c r="Y21" s="16"/>
      <c r="Z21" s="16"/>
      <c r="AA21" s="18"/>
      <c r="AB21" s="18"/>
      <c r="AC21" s="18"/>
      <c r="AD21" s="18"/>
      <c r="AE21" s="18"/>
      <c r="AF21" s="19" t="n">
        <f aca="false">IF($B21="","",IF(AND(Consulta!$B$11="Sim",$L21&lt;&gt;"Sim"),-9999,IF($H21=Consulta!$B$5,-9999,IF(AND(Consulta!$B$3&lt;&gt;"Qualquer",ISNUMBER(SEARCH(Consulta!$B$3,$AA21))),-9999,IF(AND(Consulta!$B$10="Sim",$V21&lt;&gt;"Sim"),-9999,IF(OR(Consulta!$B$3="Qualquer",ISNUMBER(SEARCH(Consulta!$B$3,$P21))),3,0)+IF(OR(Consulta!$B$12="Qualquer",ISNUMBER(SEARCH(Consulta!$B$12,$Q21))),2,0)+IF(OR(Consulta!$B$4="Qualquer",ISNUMBER(SEARCH(Consulta!$B$4,$R21))),3,0)+IF(Consulta!$B$6="Qualquer",0,IF($O21=Consulta!$B$6,2,-1))+IF(Consulta!$B$7="Não",0,IF($U21="Sim",3,IF($U21="Não",-6,0)))+IF(Consulta!$B$8="Qualquer",0,IF($C21=Consulta!$B$8,2,-3))+IF(Consulta!$B$9="Qualquer",0,IF($D21=Consulta!$B$9,2,-1))+IF($N21="",0,$N21)-ROW()/100000)))))</f>
        <v>7.99979</v>
      </c>
    </row>
    <row r="22" customFormat="false" ht="15" hidden="false" customHeight="false" outlineLevel="0" collapsed="false">
      <c r="A22" s="14" t="n">
        <v>2</v>
      </c>
      <c r="B22" s="15" t="s">
        <v>268</v>
      </c>
      <c r="C22" s="14" t="s">
        <v>161</v>
      </c>
      <c r="D22" s="14" t="s">
        <v>112</v>
      </c>
      <c r="E22" s="15" t="s">
        <v>269</v>
      </c>
      <c r="F22" s="14" t="s">
        <v>270</v>
      </c>
      <c r="G22" s="14" t="s">
        <v>271</v>
      </c>
      <c r="H22" s="14" t="s">
        <v>157</v>
      </c>
      <c r="I22" s="15"/>
      <c r="J22" s="14" t="s">
        <v>102</v>
      </c>
      <c r="K22" s="15" t="s">
        <v>261</v>
      </c>
      <c r="L22" s="16" t="s">
        <v>52</v>
      </c>
      <c r="M22" s="17"/>
      <c r="N22" s="16"/>
      <c r="O22" s="16"/>
      <c r="P22" s="18"/>
      <c r="Q22" s="16"/>
      <c r="R22" s="18"/>
      <c r="S22" s="16"/>
      <c r="T22" s="16"/>
      <c r="U22" s="16"/>
      <c r="V22" s="16"/>
      <c r="W22" s="16"/>
      <c r="X22" s="16"/>
      <c r="Y22" s="16"/>
      <c r="Z22" s="16"/>
      <c r="AA22" s="18"/>
      <c r="AB22" s="18"/>
      <c r="AC22" s="18"/>
      <c r="AD22" s="18"/>
      <c r="AE22" s="18"/>
      <c r="AF22" s="19" t="n">
        <f aca="false">IF($B22="","",IF(AND(Consulta!$B$11="Sim",$L22&lt;&gt;"Sim"),-9999,IF($H22=Consulta!$B$5,-9999,IF(AND(Consulta!$B$3&lt;&gt;"Qualquer",ISNUMBER(SEARCH(Consulta!$B$3,$AA22))),-9999,IF(AND(Consulta!$B$10="Sim",$V22&lt;&gt;"Sim"),-9999,IF(OR(Consulta!$B$3="Qualquer",ISNUMBER(SEARCH(Consulta!$B$3,$P22))),3,0)+IF(OR(Consulta!$B$12="Qualquer",ISNUMBER(SEARCH(Consulta!$B$12,$Q22))),2,0)+IF(OR(Consulta!$B$4="Qualquer",ISNUMBER(SEARCH(Consulta!$B$4,$R22))),3,0)+IF(Consulta!$B$6="Qualquer",0,IF($O22=Consulta!$B$6,2,-1))+IF(Consulta!$B$7="Não",0,IF($U22="Sim",3,IF($U22="Não",-6,0)))+IF(Consulta!$B$8="Qualquer",0,IF($C22=Consulta!$B$8,2,-3))+IF(Consulta!$B$9="Qualquer",0,IF($D22=Consulta!$B$9,2,-1))+IF($N22="",0,$N22)-ROW()/100000)))))</f>
        <v>7.99978</v>
      </c>
    </row>
    <row r="23" customFormat="false" ht="15" hidden="false" customHeight="false" outlineLevel="0" collapsed="false">
      <c r="A23" s="14" t="n">
        <v>2</v>
      </c>
      <c r="B23" s="15" t="s">
        <v>272</v>
      </c>
      <c r="C23" s="14" t="s">
        <v>161</v>
      </c>
      <c r="D23" s="14" t="s">
        <v>112</v>
      </c>
      <c r="E23" s="15" t="s">
        <v>273</v>
      </c>
      <c r="F23" s="14" t="s">
        <v>274</v>
      </c>
      <c r="G23" s="14" t="s">
        <v>275</v>
      </c>
      <c r="H23" s="14" t="s">
        <v>157</v>
      </c>
      <c r="I23" s="15"/>
      <c r="J23" s="14" t="s">
        <v>114</v>
      </c>
      <c r="K23" s="15" t="s">
        <v>261</v>
      </c>
      <c r="L23" s="16" t="s">
        <v>52</v>
      </c>
      <c r="M23" s="17"/>
      <c r="N23" s="16"/>
      <c r="O23" s="16"/>
      <c r="P23" s="18"/>
      <c r="Q23" s="16"/>
      <c r="R23" s="18"/>
      <c r="S23" s="16"/>
      <c r="T23" s="16"/>
      <c r="U23" s="16"/>
      <c r="V23" s="16"/>
      <c r="W23" s="16"/>
      <c r="X23" s="16"/>
      <c r="Y23" s="16"/>
      <c r="Z23" s="16"/>
      <c r="AA23" s="18"/>
      <c r="AB23" s="18"/>
      <c r="AC23" s="18"/>
      <c r="AD23" s="18"/>
      <c r="AE23" s="18"/>
      <c r="AF23" s="19" t="n">
        <f aca="false">IF($B23="","",IF(AND(Consulta!$B$11="Sim",$L23&lt;&gt;"Sim"),-9999,IF($H23=Consulta!$B$5,-9999,IF(AND(Consulta!$B$3&lt;&gt;"Qualquer",ISNUMBER(SEARCH(Consulta!$B$3,$AA23))),-9999,IF(AND(Consulta!$B$10="Sim",$V23&lt;&gt;"Sim"),-9999,IF(OR(Consulta!$B$3="Qualquer",ISNUMBER(SEARCH(Consulta!$B$3,$P23))),3,0)+IF(OR(Consulta!$B$12="Qualquer",ISNUMBER(SEARCH(Consulta!$B$12,$Q23))),2,0)+IF(OR(Consulta!$B$4="Qualquer",ISNUMBER(SEARCH(Consulta!$B$4,$R23))),3,0)+IF(Consulta!$B$6="Qualquer",0,IF($O23=Consulta!$B$6,2,-1))+IF(Consulta!$B$7="Não",0,IF($U23="Sim",3,IF($U23="Não",-6,0)))+IF(Consulta!$B$8="Qualquer",0,IF($C23=Consulta!$B$8,2,-3))+IF(Consulta!$B$9="Qualquer",0,IF($D23=Consulta!$B$9,2,-1))+IF($N23="",0,$N23)-ROW()/100000)))))</f>
        <v>7.99977</v>
      </c>
    </row>
    <row r="24" customFormat="false" ht="15" hidden="false" customHeight="false" outlineLevel="0" collapsed="false">
      <c r="A24" s="14" t="n">
        <v>2</v>
      </c>
      <c r="B24" s="15" t="s">
        <v>276</v>
      </c>
      <c r="C24" s="14" t="s">
        <v>169</v>
      </c>
      <c r="D24" s="14" t="s">
        <v>112</v>
      </c>
      <c r="E24" s="15" t="s">
        <v>112</v>
      </c>
      <c r="F24" s="14"/>
      <c r="G24" s="14"/>
      <c r="H24" s="14" t="s">
        <v>157</v>
      </c>
      <c r="I24" s="15"/>
      <c r="J24" s="14" t="s">
        <v>91</v>
      </c>
      <c r="K24" s="15" t="s">
        <v>255</v>
      </c>
      <c r="L24" s="16" t="s">
        <v>52</v>
      </c>
      <c r="M24" s="17"/>
      <c r="N24" s="16"/>
      <c r="O24" s="16"/>
      <c r="P24" s="18"/>
      <c r="Q24" s="16"/>
      <c r="R24" s="18"/>
      <c r="S24" s="16"/>
      <c r="T24" s="16"/>
      <c r="U24" s="16"/>
      <c r="V24" s="16"/>
      <c r="W24" s="16"/>
      <c r="X24" s="16"/>
      <c r="Y24" s="16"/>
      <c r="Z24" s="16"/>
      <c r="AA24" s="18"/>
      <c r="AB24" s="18"/>
      <c r="AC24" s="18"/>
      <c r="AD24" s="18"/>
      <c r="AE24" s="18"/>
      <c r="AF24" s="19" t="n">
        <f aca="false">IF($B24="","",IF(AND(Consulta!$B$11="Sim",$L24&lt;&gt;"Sim"),-9999,IF($H24=Consulta!$B$5,-9999,IF(AND(Consulta!$B$3&lt;&gt;"Qualquer",ISNUMBER(SEARCH(Consulta!$B$3,$AA24))),-9999,IF(AND(Consulta!$B$10="Sim",$V24&lt;&gt;"Sim"),-9999,IF(OR(Consulta!$B$3="Qualquer",ISNUMBER(SEARCH(Consulta!$B$3,$P24))),3,0)+IF(OR(Consulta!$B$12="Qualquer",ISNUMBER(SEARCH(Consulta!$B$12,$Q24))),2,0)+IF(OR(Consulta!$B$4="Qualquer",ISNUMBER(SEARCH(Consulta!$B$4,$R24))),3,0)+IF(Consulta!$B$6="Qualquer",0,IF($O24=Consulta!$B$6,2,-1))+IF(Consulta!$B$7="Não",0,IF($U24="Sim",3,IF($U24="Não",-6,0)))+IF(Consulta!$B$8="Qualquer",0,IF($C24=Consulta!$B$8,2,-3))+IF(Consulta!$B$9="Qualquer",0,IF($D24=Consulta!$B$9,2,-1))+IF($N24="",0,$N24)-ROW()/100000)))))</f>
        <v>7.99976</v>
      </c>
    </row>
    <row r="25" customFormat="false" ht="15" hidden="false" customHeight="false" outlineLevel="0" collapsed="false">
      <c r="A25" s="14" t="n">
        <v>2</v>
      </c>
      <c r="B25" s="15" t="s">
        <v>277</v>
      </c>
      <c r="C25" s="14" t="s">
        <v>165</v>
      </c>
      <c r="D25" s="14" t="s">
        <v>112</v>
      </c>
      <c r="E25" s="15" t="s">
        <v>278</v>
      </c>
      <c r="F25" s="14"/>
      <c r="G25" s="14"/>
      <c r="H25" s="14"/>
      <c r="I25" s="15" t="s">
        <v>279</v>
      </c>
      <c r="J25" s="14" t="s">
        <v>91</v>
      </c>
      <c r="K25" s="15" t="s">
        <v>255</v>
      </c>
      <c r="L25" s="16" t="s">
        <v>52</v>
      </c>
      <c r="M25" s="17"/>
      <c r="N25" s="16"/>
      <c r="O25" s="16"/>
      <c r="P25" s="18"/>
      <c r="Q25" s="16"/>
      <c r="R25" s="18"/>
      <c r="S25" s="16"/>
      <c r="T25" s="16"/>
      <c r="U25" s="16"/>
      <c r="V25" s="16"/>
      <c r="W25" s="16"/>
      <c r="X25" s="16"/>
      <c r="Y25" s="16"/>
      <c r="Z25" s="16"/>
      <c r="AA25" s="18"/>
      <c r="AB25" s="18"/>
      <c r="AC25" s="18"/>
      <c r="AD25" s="18"/>
      <c r="AE25" s="18"/>
      <c r="AF25" s="19" t="n">
        <f aca="false">IF($B25="","",IF(AND(Consulta!$B$11="Sim",$L25&lt;&gt;"Sim"),-9999,IF($H25=Consulta!$B$5,-9999,IF(AND(Consulta!$B$3&lt;&gt;"Qualquer",ISNUMBER(SEARCH(Consulta!$B$3,$AA25))),-9999,IF(AND(Consulta!$B$10="Sim",$V25&lt;&gt;"Sim"),-9999,IF(OR(Consulta!$B$3="Qualquer",ISNUMBER(SEARCH(Consulta!$B$3,$P25))),3,0)+IF(OR(Consulta!$B$12="Qualquer",ISNUMBER(SEARCH(Consulta!$B$12,$Q25))),2,0)+IF(OR(Consulta!$B$4="Qualquer",ISNUMBER(SEARCH(Consulta!$B$4,$R25))),3,0)+IF(Consulta!$B$6="Qualquer",0,IF($O25=Consulta!$B$6,2,-1))+IF(Consulta!$B$7="Não",0,IF($U25="Sim",3,IF($U25="Não",-6,0)))+IF(Consulta!$B$8="Qualquer",0,IF($C25=Consulta!$B$8,2,-3))+IF(Consulta!$B$9="Qualquer",0,IF($D25=Consulta!$B$9,2,-1))+IF($N25="",0,$N25)-ROW()/100000)))))</f>
        <v>7.99975</v>
      </c>
    </row>
    <row r="26" customFormat="false" ht="15" hidden="false" customHeight="false" outlineLevel="0" collapsed="false">
      <c r="A26" s="14" t="n">
        <v>2</v>
      </c>
      <c r="B26" s="15" t="s">
        <v>280</v>
      </c>
      <c r="C26" s="14" t="s">
        <v>161</v>
      </c>
      <c r="D26" s="14" t="s">
        <v>112</v>
      </c>
      <c r="E26" s="15" t="s">
        <v>281</v>
      </c>
      <c r="F26" s="14"/>
      <c r="G26" s="14" t="s">
        <v>282</v>
      </c>
      <c r="H26" s="14" t="s">
        <v>157</v>
      </c>
      <c r="I26" s="15"/>
      <c r="J26" s="14" t="s">
        <v>102</v>
      </c>
      <c r="K26" s="15" t="s">
        <v>261</v>
      </c>
      <c r="L26" s="16" t="s">
        <v>52</v>
      </c>
      <c r="M26" s="17"/>
      <c r="N26" s="16"/>
      <c r="O26" s="16"/>
      <c r="P26" s="18"/>
      <c r="Q26" s="16"/>
      <c r="R26" s="18"/>
      <c r="S26" s="16"/>
      <c r="T26" s="16"/>
      <c r="U26" s="16"/>
      <c r="V26" s="16"/>
      <c r="W26" s="16"/>
      <c r="X26" s="16"/>
      <c r="Y26" s="16"/>
      <c r="Z26" s="16"/>
      <c r="AA26" s="18"/>
      <c r="AB26" s="18"/>
      <c r="AC26" s="18"/>
      <c r="AD26" s="18"/>
      <c r="AE26" s="18"/>
      <c r="AF26" s="19" t="n">
        <f aca="false">IF($B26="","",IF(AND(Consulta!$B$11="Sim",$L26&lt;&gt;"Sim"),-9999,IF($H26=Consulta!$B$5,-9999,IF(AND(Consulta!$B$3&lt;&gt;"Qualquer",ISNUMBER(SEARCH(Consulta!$B$3,$AA26))),-9999,IF(AND(Consulta!$B$10="Sim",$V26&lt;&gt;"Sim"),-9999,IF(OR(Consulta!$B$3="Qualquer",ISNUMBER(SEARCH(Consulta!$B$3,$P26))),3,0)+IF(OR(Consulta!$B$12="Qualquer",ISNUMBER(SEARCH(Consulta!$B$12,$Q26))),2,0)+IF(OR(Consulta!$B$4="Qualquer",ISNUMBER(SEARCH(Consulta!$B$4,$R26))),3,0)+IF(Consulta!$B$6="Qualquer",0,IF($O26=Consulta!$B$6,2,-1))+IF(Consulta!$B$7="Não",0,IF($U26="Sim",3,IF($U26="Não",-6,0)))+IF(Consulta!$B$8="Qualquer",0,IF($C26=Consulta!$B$8,2,-3))+IF(Consulta!$B$9="Qualquer",0,IF($D26=Consulta!$B$9,2,-1))+IF($N26="",0,$N26)-ROW()/100000)))))</f>
        <v>7.99974</v>
      </c>
    </row>
    <row r="27" customFormat="false" ht="23.85" hidden="false" customHeight="false" outlineLevel="0" collapsed="false">
      <c r="A27" s="14" t="n">
        <v>3</v>
      </c>
      <c r="B27" s="15" t="s">
        <v>283</v>
      </c>
      <c r="C27" s="14" t="s">
        <v>88</v>
      </c>
      <c r="D27" s="14" t="s">
        <v>180</v>
      </c>
      <c r="E27" s="15" t="s">
        <v>284</v>
      </c>
      <c r="F27" s="14" t="s">
        <v>285</v>
      </c>
      <c r="G27" s="14" t="s">
        <v>286</v>
      </c>
      <c r="H27" s="14" t="s">
        <v>90</v>
      </c>
      <c r="I27" s="15" t="s">
        <v>287</v>
      </c>
      <c r="J27" s="14" t="s">
        <v>114</v>
      </c>
      <c r="K27" s="15" t="s">
        <v>288</v>
      </c>
      <c r="L27" s="16" t="s">
        <v>52</v>
      </c>
      <c r="M27" s="17"/>
      <c r="N27" s="16"/>
      <c r="O27" s="16"/>
      <c r="P27" s="18"/>
      <c r="Q27" s="16"/>
      <c r="R27" s="18"/>
      <c r="S27" s="16"/>
      <c r="T27" s="16"/>
      <c r="U27" s="16"/>
      <c r="V27" s="16"/>
      <c r="W27" s="16"/>
      <c r="X27" s="16"/>
      <c r="Y27" s="16"/>
      <c r="Z27" s="16"/>
      <c r="AA27" s="18"/>
      <c r="AB27" s="18"/>
      <c r="AC27" s="18"/>
      <c r="AD27" s="18"/>
      <c r="AE27" s="18"/>
      <c r="AF27" s="19" t="n">
        <f aca="false">IF($B27="","",IF(AND(Consulta!$B$11="Sim",$L27&lt;&gt;"Sim"),-9999,IF($H27=Consulta!$B$5,-9999,IF(AND(Consulta!$B$3&lt;&gt;"Qualquer",ISNUMBER(SEARCH(Consulta!$B$3,$AA27))),-9999,IF(AND(Consulta!$B$10="Sim",$V27&lt;&gt;"Sim"),-9999,IF(OR(Consulta!$B$3="Qualquer",ISNUMBER(SEARCH(Consulta!$B$3,$P27))),3,0)+IF(OR(Consulta!$B$12="Qualquer",ISNUMBER(SEARCH(Consulta!$B$12,$Q27))),2,0)+IF(OR(Consulta!$B$4="Qualquer",ISNUMBER(SEARCH(Consulta!$B$4,$R27))),3,0)+IF(Consulta!$B$6="Qualquer",0,IF($O27=Consulta!$B$6,2,-1))+IF(Consulta!$B$7="Não",0,IF($U27="Sim",3,IF($U27="Não",-6,0)))+IF(Consulta!$B$8="Qualquer",0,IF($C27=Consulta!$B$8,2,-3))+IF(Consulta!$B$9="Qualquer",0,IF($D27=Consulta!$B$9,2,-1))+IF($N27="",0,$N27)-ROW()/100000)))))</f>
        <v>7.99973</v>
      </c>
    </row>
    <row r="28" customFormat="false" ht="15" hidden="false" customHeight="false" outlineLevel="0" collapsed="false">
      <c r="A28" s="14" t="n">
        <v>3</v>
      </c>
      <c r="B28" s="15" t="s">
        <v>289</v>
      </c>
      <c r="C28" s="14" t="s">
        <v>99</v>
      </c>
      <c r="D28" s="14" t="s">
        <v>180</v>
      </c>
      <c r="E28" s="15" t="s">
        <v>290</v>
      </c>
      <c r="F28" s="14"/>
      <c r="G28" s="14"/>
      <c r="H28" s="14"/>
      <c r="I28" s="15"/>
      <c r="J28" s="14" t="s">
        <v>91</v>
      </c>
      <c r="K28" s="15" t="s">
        <v>291</v>
      </c>
      <c r="L28" s="16" t="s">
        <v>52</v>
      </c>
      <c r="M28" s="17"/>
      <c r="N28" s="16"/>
      <c r="O28" s="16"/>
      <c r="P28" s="18"/>
      <c r="Q28" s="16"/>
      <c r="R28" s="18"/>
      <c r="S28" s="16"/>
      <c r="T28" s="16"/>
      <c r="U28" s="16"/>
      <c r="V28" s="16"/>
      <c r="W28" s="16"/>
      <c r="X28" s="16"/>
      <c r="Y28" s="16"/>
      <c r="Z28" s="16"/>
      <c r="AA28" s="18"/>
      <c r="AB28" s="18"/>
      <c r="AC28" s="18"/>
      <c r="AD28" s="18"/>
      <c r="AE28" s="18"/>
      <c r="AF28" s="19" t="n">
        <f aca="false">IF($B28="","",IF(AND(Consulta!$B$11="Sim",$L28&lt;&gt;"Sim"),-9999,IF($H28=Consulta!$B$5,-9999,IF(AND(Consulta!$B$3&lt;&gt;"Qualquer",ISNUMBER(SEARCH(Consulta!$B$3,$AA28))),-9999,IF(AND(Consulta!$B$10="Sim",$V28&lt;&gt;"Sim"),-9999,IF(OR(Consulta!$B$3="Qualquer",ISNUMBER(SEARCH(Consulta!$B$3,$P28))),3,0)+IF(OR(Consulta!$B$12="Qualquer",ISNUMBER(SEARCH(Consulta!$B$12,$Q28))),2,0)+IF(OR(Consulta!$B$4="Qualquer",ISNUMBER(SEARCH(Consulta!$B$4,$R28))),3,0)+IF(Consulta!$B$6="Qualquer",0,IF($O28=Consulta!$B$6,2,-1))+IF(Consulta!$B$7="Não",0,IF($U28="Sim",3,IF($U28="Não",-6,0)))+IF(Consulta!$B$8="Qualquer",0,IF($C28=Consulta!$B$8,2,-3))+IF(Consulta!$B$9="Qualquer",0,IF($D28=Consulta!$B$9,2,-1))+IF($N28="",0,$N28)-ROW()/100000)))))</f>
        <v>7.99972</v>
      </c>
    </row>
    <row r="29" customFormat="false" ht="15" hidden="false" customHeight="false" outlineLevel="0" collapsed="false">
      <c r="A29" s="14" t="n">
        <v>3</v>
      </c>
      <c r="B29" s="15" t="s">
        <v>292</v>
      </c>
      <c r="C29" s="14" t="s">
        <v>88</v>
      </c>
      <c r="D29" s="14" t="s">
        <v>89</v>
      </c>
      <c r="E29" s="15" t="s">
        <v>293</v>
      </c>
      <c r="F29" s="14"/>
      <c r="G29" s="14" t="s">
        <v>294</v>
      </c>
      <c r="H29" s="14" t="s">
        <v>113</v>
      </c>
      <c r="I29" s="15" t="s">
        <v>295</v>
      </c>
      <c r="J29" s="14" t="s">
        <v>102</v>
      </c>
      <c r="K29" s="15" t="s">
        <v>204</v>
      </c>
      <c r="L29" s="16" t="s">
        <v>52</v>
      </c>
      <c r="M29" s="17"/>
      <c r="N29" s="16"/>
      <c r="O29" s="16"/>
      <c r="P29" s="18"/>
      <c r="Q29" s="16"/>
      <c r="R29" s="18"/>
      <c r="S29" s="16"/>
      <c r="T29" s="16"/>
      <c r="U29" s="16"/>
      <c r="V29" s="16"/>
      <c r="W29" s="16"/>
      <c r="X29" s="16"/>
      <c r="Y29" s="16"/>
      <c r="Z29" s="16"/>
      <c r="AA29" s="18"/>
      <c r="AB29" s="18"/>
      <c r="AC29" s="18"/>
      <c r="AD29" s="18"/>
      <c r="AE29" s="18"/>
      <c r="AF29" s="19" t="n">
        <f aca="false">IF($B29="","",IF(AND(Consulta!$B$11="Sim",$L29&lt;&gt;"Sim"),-9999,IF($H29=Consulta!$B$5,-9999,IF(AND(Consulta!$B$3&lt;&gt;"Qualquer",ISNUMBER(SEARCH(Consulta!$B$3,$AA29))),-9999,IF(AND(Consulta!$B$10="Sim",$V29&lt;&gt;"Sim"),-9999,IF(OR(Consulta!$B$3="Qualquer",ISNUMBER(SEARCH(Consulta!$B$3,$P29))),3,0)+IF(OR(Consulta!$B$12="Qualquer",ISNUMBER(SEARCH(Consulta!$B$12,$Q29))),2,0)+IF(OR(Consulta!$B$4="Qualquer",ISNUMBER(SEARCH(Consulta!$B$4,$R29))),3,0)+IF(Consulta!$B$6="Qualquer",0,IF($O29=Consulta!$B$6,2,-1))+IF(Consulta!$B$7="Não",0,IF($U29="Sim",3,IF($U29="Não",-6,0)))+IF(Consulta!$B$8="Qualquer",0,IF($C29=Consulta!$B$8,2,-3))+IF(Consulta!$B$9="Qualquer",0,IF($D29=Consulta!$B$9,2,-1))+IF($N29="",0,$N29)-ROW()/100000)))))</f>
        <v>7.99971</v>
      </c>
    </row>
    <row r="30" customFormat="false" ht="15" hidden="false" customHeight="false" outlineLevel="0" collapsed="false">
      <c r="A30" s="14" t="n">
        <v>3</v>
      </c>
      <c r="B30" s="15" t="s">
        <v>296</v>
      </c>
      <c r="C30" s="14" t="s">
        <v>99</v>
      </c>
      <c r="D30" s="14" t="s">
        <v>89</v>
      </c>
      <c r="E30" s="15" t="s">
        <v>297</v>
      </c>
      <c r="F30" s="14"/>
      <c r="G30" s="14" t="s">
        <v>294</v>
      </c>
      <c r="H30" s="14"/>
      <c r="I30" s="15"/>
      <c r="J30" s="14" t="s">
        <v>102</v>
      </c>
      <c r="K30" s="15" t="s">
        <v>226</v>
      </c>
      <c r="L30" s="16" t="s">
        <v>52</v>
      </c>
      <c r="M30" s="17"/>
      <c r="N30" s="16"/>
      <c r="O30" s="16"/>
      <c r="P30" s="18"/>
      <c r="Q30" s="16"/>
      <c r="R30" s="18"/>
      <c r="S30" s="16"/>
      <c r="T30" s="16"/>
      <c r="U30" s="16"/>
      <c r="V30" s="16"/>
      <c r="W30" s="16"/>
      <c r="X30" s="16"/>
      <c r="Y30" s="16"/>
      <c r="Z30" s="16"/>
      <c r="AA30" s="18"/>
      <c r="AB30" s="18"/>
      <c r="AC30" s="18"/>
      <c r="AD30" s="18"/>
      <c r="AE30" s="18"/>
      <c r="AF30" s="19" t="n">
        <f aca="false">IF($B30="","",IF(AND(Consulta!$B$11="Sim",$L30&lt;&gt;"Sim"),-9999,IF($H30=Consulta!$B$5,-9999,IF(AND(Consulta!$B$3&lt;&gt;"Qualquer",ISNUMBER(SEARCH(Consulta!$B$3,$AA30))),-9999,IF(AND(Consulta!$B$10="Sim",$V30&lt;&gt;"Sim"),-9999,IF(OR(Consulta!$B$3="Qualquer",ISNUMBER(SEARCH(Consulta!$B$3,$P30))),3,0)+IF(OR(Consulta!$B$12="Qualquer",ISNUMBER(SEARCH(Consulta!$B$12,$Q30))),2,0)+IF(OR(Consulta!$B$4="Qualquer",ISNUMBER(SEARCH(Consulta!$B$4,$R30))),3,0)+IF(Consulta!$B$6="Qualquer",0,IF($O30=Consulta!$B$6,2,-1))+IF(Consulta!$B$7="Não",0,IF($U30="Sim",3,IF($U30="Não",-6,0)))+IF(Consulta!$B$8="Qualquer",0,IF($C30=Consulta!$B$8,2,-3))+IF(Consulta!$B$9="Qualquer",0,IF($D30=Consulta!$B$9,2,-1))+IF($N30="",0,$N30)-ROW()/100000)))))</f>
        <v>7.9997</v>
      </c>
    </row>
    <row r="31" customFormat="false" ht="23.85" hidden="false" customHeight="false" outlineLevel="0" collapsed="false">
      <c r="A31" s="14" t="n">
        <v>3</v>
      </c>
      <c r="B31" s="15" t="s">
        <v>298</v>
      </c>
      <c r="C31" s="14" t="s">
        <v>88</v>
      </c>
      <c r="D31" s="14" t="s">
        <v>124</v>
      </c>
      <c r="E31" s="15" t="s">
        <v>299</v>
      </c>
      <c r="F31" s="14"/>
      <c r="G31" s="14" t="s">
        <v>300</v>
      </c>
      <c r="H31" s="14" t="s">
        <v>90</v>
      </c>
      <c r="I31" s="15" t="s">
        <v>301</v>
      </c>
      <c r="J31" s="14" t="s">
        <v>91</v>
      </c>
      <c r="K31" s="15" t="s">
        <v>302</v>
      </c>
      <c r="L31" s="16" t="s">
        <v>52</v>
      </c>
      <c r="M31" s="17"/>
      <c r="N31" s="16"/>
      <c r="O31" s="16"/>
      <c r="P31" s="18"/>
      <c r="Q31" s="16"/>
      <c r="R31" s="18"/>
      <c r="S31" s="16"/>
      <c r="T31" s="16"/>
      <c r="U31" s="16"/>
      <c r="V31" s="16"/>
      <c r="W31" s="16"/>
      <c r="X31" s="16"/>
      <c r="Y31" s="16"/>
      <c r="Z31" s="16"/>
      <c r="AA31" s="18"/>
      <c r="AB31" s="18"/>
      <c r="AC31" s="18"/>
      <c r="AD31" s="18"/>
      <c r="AE31" s="18"/>
      <c r="AF31" s="19" t="n">
        <f aca="false">IF($B31="","",IF(AND(Consulta!$B$11="Sim",$L31&lt;&gt;"Sim"),-9999,IF($H31=Consulta!$B$5,-9999,IF(AND(Consulta!$B$3&lt;&gt;"Qualquer",ISNUMBER(SEARCH(Consulta!$B$3,$AA31))),-9999,IF(AND(Consulta!$B$10="Sim",$V31&lt;&gt;"Sim"),-9999,IF(OR(Consulta!$B$3="Qualquer",ISNUMBER(SEARCH(Consulta!$B$3,$P31))),3,0)+IF(OR(Consulta!$B$12="Qualquer",ISNUMBER(SEARCH(Consulta!$B$12,$Q31))),2,0)+IF(OR(Consulta!$B$4="Qualquer",ISNUMBER(SEARCH(Consulta!$B$4,$R31))),3,0)+IF(Consulta!$B$6="Qualquer",0,IF($O31=Consulta!$B$6,2,-1))+IF(Consulta!$B$7="Não",0,IF($U31="Sim",3,IF($U31="Não",-6,0)))+IF(Consulta!$B$8="Qualquer",0,IF($C31=Consulta!$B$8,2,-3))+IF(Consulta!$B$9="Qualquer",0,IF($D31=Consulta!$B$9,2,-1))+IF($N31="",0,$N31)-ROW()/100000)))))</f>
        <v>7.99969</v>
      </c>
    </row>
    <row r="32" customFormat="false" ht="23.85" hidden="false" customHeight="false" outlineLevel="0" collapsed="false">
      <c r="A32" s="14" t="n">
        <v>3</v>
      </c>
      <c r="B32" s="15" t="s">
        <v>303</v>
      </c>
      <c r="C32" s="14" t="s">
        <v>88</v>
      </c>
      <c r="D32" s="14" t="s">
        <v>180</v>
      </c>
      <c r="E32" s="15" t="s">
        <v>304</v>
      </c>
      <c r="F32" s="14"/>
      <c r="G32" s="14" t="s">
        <v>305</v>
      </c>
      <c r="H32" s="14" t="s">
        <v>90</v>
      </c>
      <c r="I32" s="15"/>
      <c r="J32" s="14" t="s">
        <v>102</v>
      </c>
      <c r="K32" s="15" t="s">
        <v>306</v>
      </c>
      <c r="L32" s="16" t="s">
        <v>52</v>
      </c>
      <c r="M32" s="17"/>
      <c r="N32" s="16"/>
      <c r="O32" s="16"/>
      <c r="P32" s="18"/>
      <c r="Q32" s="16"/>
      <c r="R32" s="18"/>
      <c r="S32" s="16"/>
      <c r="T32" s="16"/>
      <c r="U32" s="16"/>
      <c r="V32" s="16"/>
      <c r="W32" s="16"/>
      <c r="X32" s="16"/>
      <c r="Y32" s="16"/>
      <c r="Z32" s="16"/>
      <c r="AA32" s="18"/>
      <c r="AB32" s="18"/>
      <c r="AC32" s="18"/>
      <c r="AD32" s="18"/>
      <c r="AE32" s="18"/>
      <c r="AF32" s="19" t="n">
        <f aca="false">IF($B32="","",IF(AND(Consulta!$B$11="Sim",$L32&lt;&gt;"Sim"),-9999,IF($H32=Consulta!$B$5,-9999,IF(AND(Consulta!$B$3&lt;&gt;"Qualquer",ISNUMBER(SEARCH(Consulta!$B$3,$AA32))),-9999,IF(AND(Consulta!$B$10="Sim",$V32&lt;&gt;"Sim"),-9999,IF(OR(Consulta!$B$3="Qualquer",ISNUMBER(SEARCH(Consulta!$B$3,$P32))),3,0)+IF(OR(Consulta!$B$12="Qualquer",ISNUMBER(SEARCH(Consulta!$B$12,$Q32))),2,0)+IF(OR(Consulta!$B$4="Qualquer",ISNUMBER(SEARCH(Consulta!$B$4,$R32))),3,0)+IF(Consulta!$B$6="Qualquer",0,IF($O32=Consulta!$B$6,2,-1))+IF(Consulta!$B$7="Não",0,IF($U32="Sim",3,IF($U32="Não",-6,0)))+IF(Consulta!$B$8="Qualquer",0,IF($C32=Consulta!$B$8,2,-3))+IF(Consulta!$B$9="Qualquer",0,IF($D32=Consulta!$B$9,2,-1))+IF($N32="",0,$N32)-ROW()/100000)))))</f>
        <v>7.99968</v>
      </c>
    </row>
    <row r="33" customFormat="false" ht="15" hidden="false" customHeight="false" outlineLevel="0" collapsed="false">
      <c r="A33" s="14" t="n">
        <v>3</v>
      </c>
      <c r="B33" s="15" t="s">
        <v>307</v>
      </c>
      <c r="C33" s="14" t="s">
        <v>99</v>
      </c>
      <c r="D33" s="14" t="s">
        <v>180</v>
      </c>
      <c r="E33" s="15" t="s">
        <v>308</v>
      </c>
      <c r="F33" s="14"/>
      <c r="G33" s="14"/>
      <c r="H33" s="14"/>
      <c r="I33" s="15"/>
      <c r="J33" s="14" t="s">
        <v>91</v>
      </c>
      <c r="K33" s="15" t="s">
        <v>309</v>
      </c>
      <c r="L33" s="16" t="s">
        <v>52</v>
      </c>
      <c r="M33" s="17"/>
      <c r="N33" s="16"/>
      <c r="O33" s="16"/>
      <c r="P33" s="18"/>
      <c r="Q33" s="16"/>
      <c r="R33" s="18"/>
      <c r="S33" s="16"/>
      <c r="T33" s="16"/>
      <c r="U33" s="16"/>
      <c r="V33" s="16"/>
      <c r="W33" s="16"/>
      <c r="X33" s="16"/>
      <c r="Y33" s="16"/>
      <c r="Z33" s="16"/>
      <c r="AA33" s="18"/>
      <c r="AB33" s="18"/>
      <c r="AC33" s="18"/>
      <c r="AD33" s="18"/>
      <c r="AE33" s="18"/>
      <c r="AF33" s="19" t="n">
        <f aca="false">IF($B33="","",IF(AND(Consulta!$B$11="Sim",$L33&lt;&gt;"Sim"),-9999,IF($H33=Consulta!$B$5,-9999,IF(AND(Consulta!$B$3&lt;&gt;"Qualquer",ISNUMBER(SEARCH(Consulta!$B$3,$AA33))),-9999,IF(AND(Consulta!$B$10="Sim",$V33&lt;&gt;"Sim"),-9999,IF(OR(Consulta!$B$3="Qualquer",ISNUMBER(SEARCH(Consulta!$B$3,$P33))),3,0)+IF(OR(Consulta!$B$12="Qualquer",ISNUMBER(SEARCH(Consulta!$B$12,$Q33))),2,0)+IF(OR(Consulta!$B$4="Qualquer",ISNUMBER(SEARCH(Consulta!$B$4,$R33))),3,0)+IF(Consulta!$B$6="Qualquer",0,IF($O33=Consulta!$B$6,2,-1))+IF(Consulta!$B$7="Não",0,IF($U33="Sim",3,IF($U33="Não",-6,0)))+IF(Consulta!$B$8="Qualquer",0,IF($C33=Consulta!$B$8,2,-3))+IF(Consulta!$B$9="Qualquer",0,IF($D33=Consulta!$B$9,2,-1))+IF($N33="",0,$N33)-ROW()/100000)))))</f>
        <v>7.99967</v>
      </c>
    </row>
    <row r="34" customFormat="false" ht="15" hidden="false" customHeight="false" outlineLevel="0" collapsed="false">
      <c r="A34" s="14" t="n">
        <v>3</v>
      </c>
      <c r="B34" s="15" t="s">
        <v>310</v>
      </c>
      <c r="C34" s="14" t="s">
        <v>88</v>
      </c>
      <c r="D34" s="14" t="s">
        <v>180</v>
      </c>
      <c r="E34" s="15" t="s">
        <v>308</v>
      </c>
      <c r="F34" s="14"/>
      <c r="G34" s="14"/>
      <c r="H34" s="14" t="s">
        <v>90</v>
      </c>
      <c r="I34" s="15"/>
      <c r="J34" s="14" t="s">
        <v>91</v>
      </c>
      <c r="K34" s="15" t="s">
        <v>309</v>
      </c>
      <c r="L34" s="16" t="s">
        <v>52</v>
      </c>
      <c r="M34" s="17"/>
      <c r="N34" s="16"/>
      <c r="O34" s="16"/>
      <c r="P34" s="18"/>
      <c r="Q34" s="16"/>
      <c r="R34" s="18"/>
      <c r="S34" s="16"/>
      <c r="T34" s="16"/>
      <c r="U34" s="16"/>
      <c r="V34" s="16"/>
      <c r="W34" s="16"/>
      <c r="X34" s="16"/>
      <c r="Y34" s="16"/>
      <c r="Z34" s="16"/>
      <c r="AA34" s="18"/>
      <c r="AB34" s="18"/>
      <c r="AC34" s="18"/>
      <c r="AD34" s="18"/>
      <c r="AE34" s="18"/>
      <c r="AF34" s="19" t="n">
        <f aca="false">IF($B34="","",IF(AND(Consulta!$B$11="Sim",$L34&lt;&gt;"Sim"),-9999,IF($H34=Consulta!$B$5,-9999,IF(AND(Consulta!$B$3&lt;&gt;"Qualquer",ISNUMBER(SEARCH(Consulta!$B$3,$AA34))),-9999,IF(AND(Consulta!$B$10="Sim",$V34&lt;&gt;"Sim"),-9999,IF(OR(Consulta!$B$3="Qualquer",ISNUMBER(SEARCH(Consulta!$B$3,$P34))),3,0)+IF(OR(Consulta!$B$12="Qualquer",ISNUMBER(SEARCH(Consulta!$B$12,$Q34))),2,0)+IF(OR(Consulta!$B$4="Qualquer",ISNUMBER(SEARCH(Consulta!$B$4,$R34))),3,0)+IF(Consulta!$B$6="Qualquer",0,IF($O34=Consulta!$B$6,2,-1))+IF(Consulta!$B$7="Não",0,IF($U34="Sim",3,IF($U34="Não",-6,0)))+IF(Consulta!$B$8="Qualquer",0,IF($C34=Consulta!$B$8,2,-3))+IF(Consulta!$B$9="Qualquer",0,IF($D34=Consulta!$B$9,2,-1))+IF($N34="",0,$N34)-ROW()/100000)))))</f>
        <v>7.99966</v>
      </c>
    </row>
    <row r="35" customFormat="false" ht="23.85" hidden="false" customHeight="false" outlineLevel="0" collapsed="false">
      <c r="A35" s="14" t="n">
        <v>4</v>
      </c>
      <c r="B35" s="15" t="s">
        <v>311</v>
      </c>
      <c r="C35" s="14" t="s">
        <v>99</v>
      </c>
      <c r="D35" s="14" t="s">
        <v>89</v>
      </c>
      <c r="E35" s="15" t="s">
        <v>312</v>
      </c>
      <c r="F35" s="14"/>
      <c r="G35" s="14"/>
      <c r="H35" s="14"/>
      <c r="I35" s="15"/>
      <c r="J35" s="14" t="s">
        <v>91</v>
      </c>
      <c r="K35" s="15" t="s">
        <v>204</v>
      </c>
      <c r="L35" s="16" t="s">
        <v>52</v>
      </c>
      <c r="M35" s="17"/>
      <c r="N35" s="16"/>
      <c r="O35" s="16"/>
      <c r="P35" s="18"/>
      <c r="Q35" s="16"/>
      <c r="R35" s="18"/>
      <c r="S35" s="16"/>
      <c r="T35" s="16"/>
      <c r="U35" s="16"/>
      <c r="V35" s="16"/>
      <c r="W35" s="16"/>
      <c r="X35" s="16"/>
      <c r="Y35" s="16"/>
      <c r="Z35" s="16"/>
      <c r="AA35" s="18"/>
      <c r="AB35" s="18"/>
      <c r="AC35" s="18"/>
      <c r="AD35" s="18"/>
      <c r="AE35" s="18"/>
      <c r="AF35" s="19" t="n">
        <f aca="false">IF($B35="","",IF(AND(Consulta!$B$11="Sim",$L35&lt;&gt;"Sim"),-9999,IF($H35=Consulta!$B$5,-9999,IF(AND(Consulta!$B$3&lt;&gt;"Qualquer",ISNUMBER(SEARCH(Consulta!$B$3,$AA35))),-9999,IF(AND(Consulta!$B$10="Sim",$V35&lt;&gt;"Sim"),-9999,IF(OR(Consulta!$B$3="Qualquer",ISNUMBER(SEARCH(Consulta!$B$3,$P35))),3,0)+IF(OR(Consulta!$B$12="Qualquer",ISNUMBER(SEARCH(Consulta!$B$12,$Q35))),2,0)+IF(OR(Consulta!$B$4="Qualquer",ISNUMBER(SEARCH(Consulta!$B$4,$R35))),3,0)+IF(Consulta!$B$6="Qualquer",0,IF($O35=Consulta!$B$6,2,-1))+IF(Consulta!$B$7="Não",0,IF($U35="Sim",3,IF($U35="Não",-6,0)))+IF(Consulta!$B$8="Qualquer",0,IF($C35=Consulta!$B$8,2,-3))+IF(Consulta!$B$9="Qualquer",0,IF($D35=Consulta!$B$9,2,-1))+IF($N35="",0,$N35)-ROW()/100000)))))</f>
        <v>7.99965</v>
      </c>
    </row>
    <row r="36" customFormat="false" ht="15" hidden="false" customHeight="false" outlineLevel="0" collapsed="false">
      <c r="A36" s="14" t="n">
        <v>4</v>
      </c>
      <c r="B36" s="15" t="s">
        <v>313</v>
      </c>
      <c r="C36" s="14" t="s">
        <v>99</v>
      </c>
      <c r="D36" s="14" t="s">
        <v>144</v>
      </c>
      <c r="E36" s="15" t="s">
        <v>314</v>
      </c>
      <c r="F36" s="14"/>
      <c r="G36" s="14"/>
      <c r="H36" s="14"/>
      <c r="I36" s="15"/>
      <c r="J36" s="14" t="s">
        <v>91</v>
      </c>
      <c r="K36" s="15" t="s">
        <v>315</v>
      </c>
      <c r="L36" s="16" t="s">
        <v>52</v>
      </c>
      <c r="M36" s="17"/>
      <c r="N36" s="16"/>
      <c r="O36" s="16"/>
      <c r="P36" s="18"/>
      <c r="Q36" s="16"/>
      <c r="R36" s="18"/>
      <c r="S36" s="16"/>
      <c r="T36" s="16"/>
      <c r="U36" s="16"/>
      <c r="V36" s="16"/>
      <c r="W36" s="16"/>
      <c r="X36" s="16"/>
      <c r="Y36" s="16"/>
      <c r="Z36" s="16"/>
      <c r="AA36" s="18"/>
      <c r="AB36" s="18"/>
      <c r="AC36" s="18"/>
      <c r="AD36" s="18"/>
      <c r="AE36" s="18"/>
      <c r="AF36" s="19" t="n">
        <f aca="false">IF($B36="","",IF(AND(Consulta!$B$11="Sim",$L36&lt;&gt;"Sim"),-9999,IF($H36=Consulta!$B$5,-9999,IF(AND(Consulta!$B$3&lt;&gt;"Qualquer",ISNUMBER(SEARCH(Consulta!$B$3,$AA36))),-9999,IF(AND(Consulta!$B$10="Sim",$V36&lt;&gt;"Sim"),-9999,IF(OR(Consulta!$B$3="Qualquer",ISNUMBER(SEARCH(Consulta!$B$3,$P36))),3,0)+IF(OR(Consulta!$B$12="Qualquer",ISNUMBER(SEARCH(Consulta!$B$12,$Q36))),2,0)+IF(OR(Consulta!$B$4="Qualquer",ISNUMBER(SEARCH(Consulta!$B$4,$R36))),3,0)+IF(Consulta!$B$6="Qualquer",0,IF($O36=Consulta!$B$6,2,-1))+IF(Consulta!$B$7="Não",0,IF($U36="Sim",3,IF($U36="Não",-6,0)))+IF(Consulta!$B$8="Qualquer",0,IF($C36=Consulta!$B$8,2,-3))+IF(Consulta!$B$9="Qualquer",0,IF($D36=Consulta!$B$9,2,-1))+IF($N36="",0,$N36)-ROW()/100000)))))</f>
        <v>7.99964</v>
      </c>
    </row>
    <row r="37" customFormat="false" ht="15" hidden="false" customHeight="false" outlineLevel="0" collapsed="false">
      <c r="A37" s="14" t="n">
        <v>4</v>
      </c>
      <c r="B37" s="15" t="s">
        <v>316</v>
      </c>
      <c r="C37" s="14" t="s">
        <v>111</v>
      </c>
      <c r="D37" s="14" t="s">
        <v>144</v>
      </c>
      <c r="E37" s="15" t="s">
        <v>317</v>
      </c>
      <c r="F37" s="14"/>
      <c r="G37" s="14"/>
      <c r="H37" s="14" t="s">
        <v>157</v>
      </c>
      <c r="I37" s="15" t="s">
        <v>318</v>
      </c>
      <c r="J37" s="14" t="s">
        <v>91</v>
      </c>
      <c r="K37" s="15" t="s">
        <v>204</v>
      </c>
      <c r="L37" s="16" t="s">
        <v>52</v>
      </c>
      <c r="M37" s="17"/>
      <c r="N37" s="16"/>
      <c r="O37" s="16"/>
      <c r="P37" s="18"/>
      <c r="Q37" s="16"/>
      <c r="R37" s="18"/>
      <c r="S37" s="16"/>
      <c r="T37" s="16"/>
      <c r="U37" s="16"/>
      <c r="V37" s="16"/>
      <c r="W37" s="16"/>
      <c r="X37" s="16"/>
      <c r="Y37" s="16"/>
      <c r="Z37" s="16"/>
      <c r="AA37" s="18"/>
      <c r="AB37" s="18"/>
      <c r="AC37" s="18"/>
      <c r="AD37" s="18"/>
      <c r="AE37" s="18"/>
      <c r="AF37" s="19" t="n">
        <f aca="false">IF($B37="","",IF(AND(Consulta!$B$11="Sim",$L37&lt;&gt;"Sim"),-9999,IF($H37=Consulta!$B$5,-9999,IF(AND(Consulta!$B$3&lt;&gt;"Qualquer",ISNUMBER(SEARCH(Consulta!$B$3,$AA37))),-9999,IF(AND(Consulta!$B$10="Sim",$V37&lt;&gt;"Sim"),-9999,IF(OR(Consulta!$B$3="Qualquer",ISNUMBER(SEARCH(Consulta!$B$3,$P37))),3,0)+IF(OR(Consulta!$B$12="Qualquer",ISNUMBER(SEARCH(Consulta!$B$12,$Q37))),2,0)+IF(OR(Consulta!$B$4="Qualquer",ISNUMBER(SEARCH(Consulta!$B$4,$R37))),3,0)+IF(Consulta!$B$6="Qualquer",0,IF($O37=Consulta!$B$6,2,-1))+IF(Consulta!$B$7="Não",0,IF($U37="Sim",3,IF($U37="Não",-6,0)))+IF(Consulta!$B$8="Qualquer",0,IF($C37=Consulta!$B$8,2,-3))+IF(Consulta!$B$9="Qualquer",0,IF($D37=Consulta!$B$9,2,-1))+IF($N37="",0,$N37)-ROW()/100000)))))</f>
        <v>7.99963</v>
      </c>
    </row>
    <row r="38" customFormat="false" ht="15" hidden="false" customHeight="false" outlineLevel="0" collapsed="false">
      <c r="A38" s="14" t="n">
        <v>4</v>
      </c>
      <c r="B38" s="15" t="s">
        <v>319</v>
      </c>
      <c r="C38" s="14" t="s">
        <v>169</v>
      </c>
      <c r="D38" s="14" t="s">
        <v>174</v>
      </c>
      <c r="E38" s="15" t="s">
        <v>320</v>
      </c>
      <c r="F38" s="14"/>
      <c r="G38" s="14"/>
      <c r="H38" s="14" t="s">
        <v>157</v>
      </c>
      <c r="I38" s="15"/>
      <c r="J38" s="14" t="s">
        <v>91</v>
      </c>
      <c r="K38" s="15" t="s">
        <v>321</v>
      </c>
      <c r="L38" s="16" t="s">
        <v>52</v>
      </c>
      <c r="M38" s="17"/>
      <c r="N38" s="16"/>
      <c r="O38" s="16"/>
      <c r="P38" s="18"/>
      <c r="Q38" s="16"/>
      <c r="R38" s="18"/>
      <c r="S38" s="16"/>
      <c r="T38" s="16"/>
      <c r="U38" s="16"/>
      <c r="V38" s="16"/>
      <c r="W38" s="16"/>
      <c r="X38" s="16"/>
      <c r="Y38" s="16"/>
      <c r="Z38" s="16"/>
      <c r="AA38" s="18"/>
      <c r="AB38" s="18"/>
      <c r="AC38" s="18"/>
      <c r="AD38" s="18"/>
      <c r="AE38" s="18"/>
      <c r="AF38" s="19" t="n">
        <f aca="false">IF($B38="","",IF(AND(Consulta!$B$11="Sim",$L38&lt;&gt;"Sim"),-9999,IF($H38=Consulta!$B$5,-9999,IF(AND(Consulta!$B$3&lt;&gt;"Qualquer",ISNUMBER(SEARCH(Consulta!$B$3,$AA38))),-9999,IF(AND(Consulta!$B$10="Sim",$V38&lt;&gt;"Sim"),-9999,IF(OR(Consulta!$B$3="Qualquer",ISNUMBER(SEARCH(Consulta!$B$3,$P38))),3,0)+IF(OR(Consulta!$B$12="Qualquer",ISNUMBER(SEARCH(Consulta!$B$12,$Q38))),2,0)+IF(OR(Consulta!$B$4="Qualquer",ISNUMBER(SEARCH(Consulta!$B$4,$R38))),3,0)+IF(Consulta!$B$6="Qualquer",0,IF($O38=Consulta!$B$6,2,-1))+IF(Consulta!$B$7="Não",0,IF($U38="Sim",3,IF($U38="Não",-6,0)))+IF(Consulta!$B$8="Qualquer",0,IF($C38=Consulta!$B$8,2,-3))+IF(Consulta!$B$9="Qualquer",0,IF($D38=Consulta!$B$9,2,-1))+IF($N38="",0,$N38)-ROW()/100000)))))</f>
        <v>7.99962</v>
      </c>
    </row>
    <row r="39" customFormat="false" ht="15" hidden="false" customHeight="false" outlineLevel="0" collapsed="false">
      <c r="A39" s="14" t="n">
        <v>4</v>
      </c>
      <c r="B39" s="15" t="s">
        <v>322</v>
      </c>
      <c r="C39" s="14" t="s">
        <v>169</v>
      </c>
      <c r="D39" s="14" t="s">
        <v>174</v>
      </c>
      <c r="E39" s="15" t="s">
        <v>323</v>
      </c>
      <c r="F39" s="14"/>
      <c r="G39" s="14"/>
      <c r="H39" s="14" t="s">
        <v>157</v>
      </c>
      <c r="I39" s="15" t="s">
        <v>324</v>
      </c>
      <c r="J39" s="14" t="s">
        <v>91</v>
      </c>
      <c r="K39" s="15" t="s">
        <v>325</v>
      </c>
      <c r="L39" s="16" t="s">
        <v>52</v>
      </c>
      <c r="M39" s="17"/>
      <c r="N39" s="16"/>
      <c r="O39" s="16"/>
      <c r="P39" s="18"/>
      <c r="Q39" s="16"/>
      <c r="R39" s="18"/>
      <c r="S39" s="16"/>
      <c r="T39" s="16"/>
      <c r="U39" s="16"/>
      <c r="V39" s="16"/>
      <c r="W39" s="16"/>
      <c r="X39" s="16"/>
      <c r="Y39" s="16"/>
      <c r="Z39" s="16"/>
      <c r="AA39" s="18"/>
      <c r="AB39" s="18"/>
      <c r="AC39" s="18"/>
      <c r="AD39" s="18"/>
      <c r="AE39" s="18"/>
      <c r="AF39" s="19" t="n">
        <f aca="false">IF($B39="","",IF(AND(Consulta!$B$11="Sim",$L39&lt;&gt;"Sim"),-9999,IF($H39=Consulta!$B$5,-9999,IF(AND(Consulta!$B$3&lt;&gt;"Qualquer",ISNUMBER(SEARCH(Consulta!$B$3,$AA39))),-9999,IF(AND(Consulta!$B$10="Sim",$V39&lt;&gt;"Sim"),-9999,IF(OR(Consulta!$B$3="Qualquer",ISNUMBER(SEARCH(Consulta!$B$3,$P39))),3,0)+IF(OR(Consulta!$B$12="Qualquer",ISNUMBER(SEARCH(Consulta!$B$12,$Q39))),2,0)+IF(OR(Consulta!$B$4="Qualquer",ISNUMBER(SEARCH(Consulta!$B$4,$R39))),3,0)+IF(Consulta!$B$6="Qualquer",0,IF($O39=Consulta!$B$6,2,-1))+IF(Consulta!$B$7="Não",0,IF($U39="Sim",3,IF($U39="Não",-6,0)))+IF(Consulta!$B$8="Qualquer",0,IF($C39=Consulta!$B$8,2,-3))+IF(Consulta!$B$9="Qualquer",0,IF($D39=Consulta!$B$9,2,-1))+IF($N39="",0,$N39)-ROW()/100000)))))</f>
        <v>7.99961</v>
      </c>
    </row>
    <row r="40" customFormat="false" ht="15" hidden="false" customHeight="false" outlineLevel="0" collapsed="false">
      <c r="A40" s="14" t="n">
        <v>4</v>
      </c>
      <c r="B40" s="15" t="s">
        <v>326</v>
      </c>
      <c r="C40" s="14" t="s">
        <v>111</v>
      </c>
      <c r="D40" s="14" t="s">
        <v>174</v>
      </c>
      <c r="E40" s="15" t="s">
        <v>327</v>
      </c>
      <c r="F40" s="14"/>
      <c r="G40" s="14"/>
      <c r="H40" s="14" t="s">
        <v>157</v>
      </c>
      <c r="I40" s="15" t="s">
        <v>318</v>
      </c>
      <c r="J40" s="14" t="s">
        <v>91</v>
      </c>
      <c r="K40" s="15" t="s">
        <v>321</v>
      </c>
      <c r="L40" s="16" t="s">
        <v>52</v>
      </c>
      <c r="M40" s="17"/>
      <c r="N40" s="16"/>
      <c r="O40" s="16"/>
      <c r="P40" s="18"/>
      <c r="Q40" s="16"/>
      <c r="R40" s="18"/>
      <c r="S40" s="16"/>
      <c r="T40" s="16"/>
      <c r="U40" s="16"/>
      <c r="V40" s="16"/>
      <c r="W40" s="16"/>
      <c r="X40" s="16"/>
      <c r="Y40" s="16"/>
      <c r="Z40" s="16"/>
      <c r="AA40" s="18"/>
      <c r="AB40" s="18"/>
      <c r="AC40" s="18"/>
      <c r="AD40" s="18"/>
      <c r="AE40" s="18"/>
      <c r="AF40" s="19" t="n">
        <f aca="false">IF($B40="","",IF(AND(Consulta!$B$11="Sim",$L40&lt;&gt;"Sim"),-9999,IF($H40=Consulta!$B$5,-9999,IF(AND(Consulta!$B$3&lt;&gt;"Qualquer",ISNUMBER(SEARCH(Consulta!$B$3,$AA40))),-9999,IF(AND(Consulta!$B$10="Sim",$V40&lt;&gt;"Sim"),-9999,IF(OR(Consulta!$B$3="Qualquer",ISNUMBER(SEARCH(Consulta!$B$3,$P40))),3,0)+IF(OR(Consulta!$B$12="Qualquer",ISNUMBER(SEARCH(Consulta!$B$12,$Q40))),2,0)+IF(OR(Consulta!$B$4="Qualquer",ISNUMBER(SEARCH(Consulta!$B$4,$R40))),3,0)+IF(Consulta!$B$6="Qualquer",0,IF($O40=Consulta!$B$6,2,-1))+IF(Consulta!$B$7="Não",0,IF($U40="Sim",3,IF($U40="Não",-6,0)))+IF(Consulta!$B$8="Qualquer",0,IF($C40=Consulta!$B$8,2,-3))+IF(Consulta!$B$9="Qualquer",0,IF($D40=Consulta!$B$9,2,-1))+IF($N40="",0,$N40)-ROW()/100000)))))</f>
        <v>7.9996</v>
      </c>
    </row>
    <row r="41" customFormat="false" ht="15" hidden="false" customHeight="false" outlineLevel="0" collapsed="false">
      <c r="A41" s="14" t="n">
        <v>4</v>
      </c>
      <c r="B41" s="15" t="s">
        <v>328</v>
      </c>
      <c r="C41" s="14" t="s">
        <v>111</v>
      </c>
      <c r="D41" s="14" t="s">
        <v>181</v>
      </c>
      <c r="E41" s="15" t="s">
        <v>329</v>
      </c>
      <c r="F41" s="14"/>
      <c r="G41" s="14"/>
      <c r="H41" s="14" t="s">
        <v>90</v>
      </c>
      <c r="I41" s="15"/>
      <c r="J41" s="14" t="s">
        <v>91</v>
      </c>
      <c r="K41" s="15" t="s">
        <v>330</v>
      </c>
      <c r="L41" s="16" t="s">
        <v>52</v>
      </c>
      <c r="M41" s="17"/>
      <c r="N41" s="16"/>
      <c r="O41" s="16"/>
      <c r="P41" s="18"/>
      <c r="Q41" s="16"/>
      <c r="R41" s="18"/>
      <c r="S41" s="16"/>
      <c r="T41" s="16"/>
      <c r="U41" s="16"/>
      <c r="V41" s="16"/>
      <c r="W41" s="16"/>
      <c r="X41" s="16"/>
      <c r="Y41" s="16"/>
      <c r="Z41" s="16"/>
      <c r="AA41" s="18"/>
      <c r="AB41" s="18"/>
      <c r="AC41" s="18"/>
      <c r="AD41" s="18"/>
      <c r="AE41" s="18"/>
      <c r="AF41" s="19" t="n">
        <f aca="false">IF($B41="","",IF(AND(Consulta!$B$11="Sim",$L41&lt;&gt;"Sim"),-9999,IF($H41=Consulta!$B$5,-9999,IF(AND(Consulta!$B$3&lt;&gt;"Qualquer",ISNUMBER(SEARCH(Consulta!$B$3,$AA41))),-9999,IF(AND(Consulta!$B$10="Sim",$V41&lt;&gt;"Sim"),-9999,IF(OR(Consulta!$B$3="Qualquer",ISNUMBER(SEARCH(Consulta!$B$3,$P41))),3,0)+IF(OR(Consulta!$B$12="Qualquer",ISNUMBER(SEARCH(Consulta!$B$12,$Q41))),2,0)+IF(OR(Consulta!$B$4="Qualquer",ISNUMBER(SEARCH(Consulta!$B$4,$R41))),3,0)+IF(Consulta!$B$6="Qualquer",0,IF($O41=Consulta!$B$6,2,-1))+IF(Consulta!$B$7="Não",0,IF($U41="Sim",3,IF($U41="Não",-6,0)))+IF(Consulta!$B$8="Qualquer",0,IF($C41=Consulta!$B$8,2,-3))+IF(Consulta!$B$9="Qualquer",0,IF($D41=Consulta!$B$9,2,-1))+IF($N41="",0,$N41)-ROW()/100000)))))</f>
        <v>7.99959</v>
      </c>
    </row>
    <row r="42" customFormat="false" ht="15" hidden="false" customHeight="false" outlineLevel="0" collapsed="false">
      <c r="A42" s="14" t="n">
        <v>4</v>
      </c>
      <c r="B42" s="15" t="s">
        <v>331</v>
      </c>
      <c r="C42" s="14" t="s">
        <v>169</v>
      </c>
      <c r="D42" s="14" t="s">
        <v>89</v>
      </c>
      <c r="E42" s="15" t="s">
        <v>332</v>
      </c>
      <c r="F42" s="14"/>
      <c r="G42" s="14" t="s">
        <v>333</v>
      </c>
      <c r="H42" s="14" t="s">
        <v>157</v>
      </c>
      <c r="I42" s="15"/>
      <c r="J42" s="14" t="s">
        <v>91</v>
      </c>
      <c r="K42" s="15" t="s">
        <v>226</v>
      </c>
      <c r="L42" s="16" t="s">
        <v>52</v>
      </c>
      <c r="M42" s="17"/>
      <c r="N42" s="16"/>
      <c r="O42" s="16"/>
      <c r="P42" s="18"/>
      <c r="Q42" s="16"/>
      <c r="R42" s="18"/>
      <c r="S42" s="16"/>
      <c r="T42" s="16"/>
      <c r="U42" s="16"/>
      <c r="V42" s="16"/>
      <c r="W42" s="16"/>
      <c r="X42" s="16"/>
      <c r="Y42" s="16"/>
      <c r="Z42" s="16"/>
      <c r="AA42" s="18"/>
      <c r="AB42" s="18"/>
      <c r="AC42" s="18"/>
      <c r="AD42" s="18"/>
      <c r="AE42" s="18"/>
      <c r="AF42" s="19" t="n">
        <f aca="false">IF($B42="","",IF(AND(Consulta!$B$11="Sim",$L42&lt;&gt;"Sim"),-9999,IF($H42=Consulta!$B$5,-9999,IF(AND(Consulta!$B$3&lt;&gt;"Qualquer",ISNUMBER(SEARCH(Consulta!$B$3,$AA42))),-9999,IF(AND(Consulta!$B$10="Sim",$V42&lt;&gt;"Sim"),-9999,IF(OR(Consulta!$B$3="Qualquer",ISNUMBER(SEARCH(Consulta!$B$3,$P42))),3,0)+IF(OR(Consulta!$B$12="Qualquer",ISNUMBER(SEARCH(Consulta!$B$12,$Q42))),2,0)+IF(OR(Consulta!$B$4="Qualquer",ISNUMBER(SEARCH(Consulta!$B$4,$R42))),3,0)+IF(Consulta!$B$6="Qualquer",0,IF($O42=Consulta!$B$6,2,-1))+IF(Consulta!$B$7="Não",0,IF($U42="Sim",3,IF($U42="Não",-6,0)))+IF(Consulta!$B$8="Qualquer",0,IF($C42=Consulta!$B$8,2,-3))+IF(Consulta!$B$9="Qualquer",0,IF($D42=Consulta!$B$9,2,-1))+IF($N42="",0,$N42)-ROW()/100000)))))</f>
        <v>7.99958</v>
      </c>
    </row>
    <row r="43" customFormat="false" ht="15" hidden="false" customHeight="false" outlineLevel="0" collapsed="false">
      <c r="A43" s="14" t="n">
        <v>4</v>
      </c>
      <c r="B43" s="15" t="s">
        <v>334</v>
      </c>
      <c r="C43" s="14" t="s">
        <v>111</v>
      </c>
      <c r="D43" s="14" t="s">
        <v>144</v>
      </c>
      <c r="E43" s="15" t="s">
        <v>335</v>
      </c>
      <c r="F43" s="14"/>
      <c r="G43" s="14"/>
      <c r="H43" s="14"/>
      <c r="I43" s="15" t="s">
        <v>336</v>
      </c>
      <c r="J43" s="14" t="s">
        <v>91</v>
      </c>
      <c r="K43" s="15" t="s">
        <v>337</v>
      </c>
      <c r="L43" s="16" t="s">
        <v>52</v>
      </c>
      <c r="M43" s="17"/>
      <c r="N43" s="16"/>
      <c r="O43" s="16"/>
      <c r="P43" s="18"/>
      <c r="Q43" s="16"/>
      <c r="R43" s="18"/>
      <c r="S43" s="16"/>
      <c r="T43" s="16"/>
      <c r="U43" s="16"/>
      <c r="V43" s="16"/>
      <c r="W43" s="16"/>
      <c r="X43" s="16"/>
      <c r="Y43" s="16"/>
      <c r="Z43" s="16"/>
      <c r="AA43" s="18"/>
      <c r="AB43" s="18"/>
      <c r="AC43" s="18"/>
      <c r="AD43" s="18"/>
      <c r="AE43" s="18"/>
      <c r="AF43" s="19" t="n">
        <f aca="false">IF($B43="","",IF(AND(Consulta!$B$11="Sim",$L43&lt;&gt;"Sim"),-9999,IF($H43=Consulta!$B$5,-9999,IF(AND(Consulta!$B$3&lt;&gt;"Qualquer",ISNUMBER(SEARCH(Consulta!$B$3,$AA43))),-9999,IF(AND(Consulta!$B$10="Sim",$V43&lt;&gt;"Sim"),-9999,IF(OR(Consulta!$B$3="Qualquer",ISNUMBER(SEARCH(Consulta!$B$3,$P43))),3,0)+IF(OR(Consulta!$B$12="Qualquer",ISNUMBER(SEARCH(Consulta!$B$12,$Q43))),2,0)+IF(OR(Consulta!$B$4="Qualquer",ISNUMBER(SEARCH(Consulta!$B$4,$R43))),3,0)+IF(Consulta!$B$6="Qualquer",0,IF($O43=Consulta!$B$6,2,-1))+IF(Consulta!$B$7="Não",0,IF($U43="Sim",3,IF($U43="Não",-6,0)))+IF(Consulta!$B$8="Qualquer",0,IF($C43=Consulta!$B$8,2,-3))+IF(Consulta!$B$9="Qualquer",0,IF($D43=Consulta!$B$9,2,-1))+IF($N43="",0,$N43)-ROW()/100000)))))</f>
        <v>7.99957</v>
      </c>
    </row>
    <row r="44" customFormat="false" ht="15" hidden="false" customHeight="false" outlineLevel="0" collapsed="false">
      <c r="A44" s="14" t="n">
        <v>4</v>
      </c>
      <c r="B44" s="15" t="s">
        <v>338</v>
      </c>
      <c r="C44" s="14" t="s">
        <v>167</v>
      </c>
      <c r="D44" s="14" t="s">
        <v>144</v>
      </c>
      <c r="E44" s="15" t="s">
        <v>339</v>
      </c>
      <c r="F44" s="14"/>
      <c r="G44" s="14"/>
      <c r="H44" s="14" t="s">
        <v>157</v>
      </c>
      <c r="I44" s="15"/>
      <c r="J44" s="14" t="s">
        <v>91</v>
      </c>
      <c r="K44" s="15" t="s">
        <v>340</v>
      </c>
      <c r="L44" s="16" t="s">
        <v>52</v>
      </c>
      <c r="M44" s="17"/>
      <c r="N44" s="16"/>
      <c r="O44" s="16"/>
      <c r="P44" s="18"/>
      <c r="Q44" s="16"/>
      <c r="R44" s="18"/>
      <c r="S44" s="16"/>
      <c r="T44" s="16"/>
      <c r="U44" s="16"/>
      <c r="V44" s="16"/>
      <c r="W44" s="16"/>
      <c r="X44" s="16"/>
      <c r="Y44" s="16"/>
      <c r="Z44" s="16"/>
      <c r="AA44" s="18"/>
      <c r="AB44" s="18"/>
      <c r="AC44" s="18"/>
      <c r="AD44" s="18"/>
      <c r="AE44" s="18"/>
      <c r="AF44" s="19" t="n">
        <f aca="false">IF($B44="","",IF(AND(Consulta!$B$11="Sim",$L44&lt;&gt;"Sim"),-9999,IF($H44=Consulta!$B$5,-9999,IF(AND(Consulta!$B$3&lt;&gt;"Qualquer",ISNUMBER(SEARCH(Consulta!$B$3,$AA44))),-9999,IF(AND(Consulta!$B$10="Sim",$V44&lt;&gt;"Sim"),-9999,IF(OR(Consulta!$B$3="Qualquer",ISNUMBER(SEARCH(Consulta!$B$3,$P44))),3,0)+IF(OR(Consulta!$B$12="Qualquer",ISNUMBER(SEARCH(Consulta!$B$12,$Q44))),2,0)+IF(OR(Consulta!$B$4="Qualquer",ISNUMBER(SEARCH(Consulta!$B$4,$R44))),3,0)+IF(Consulta!$B$6="Qualquer",0,IF($O44=Consulta!$B$6,2,-1))+IF(Consulta!$B$7="Não",0,IF($U44="Sim",3,IF($U44="Não",-6,0)))+IF(Consulta!$B$8="Qualquer",0,IF($C44=Consulta!$B$8,2,-3))+IF(Consulta!$B$9="Qualquer",0,IF($D44=Consulta!$B$9,2,-1))+IF($N44="",0,$N44)-ROW()/100000)))))</f>
        <v>7.99956</v>
      </c>
    </row>
    <row r="45" customFormat="false" ht="15" hidden="false" customHeight="false" outlineLevel="0" collapsed="false">
      <c r="A45" s="14" t="n">
        <v>4</v>
      </c>
      <c r="B45" s="15" t="s">
        <v>341</v>
      </c>
      <c r="C45" s="14" t="s">
        <v>99</v>
      </c>
      <c r="D45" s="14" t="s">
        <v>148</v>
      </c>
      <c r="E45" s="15" t="s">
        <v>342</v>
      </c>
      <c r="F45" s="14"/>
      <c r="G45" s="14"/>
      <c r="H45" s="14"/>
      <c r="I45" s="15" t="s">
        <v>343</v>
      </c>
      <c r="J45" s="14" t="s">
        <v>102</v>
      </c>
      <c r="K45" s="15" t="s">
        <v>344</v>
      </c>
      <c r="L45" s="16" t="s">
        <v>52</v>
      </c>
      <c r="M45" s="17"/>
      <c r="N45" s="16"/>
      <c r="O45" s="16"/>
      <c r="P45" s="18"/>
      <c r="Q45" s="16"/>
      <c r="R45" s="18"/>
      <c r="S45" s="16"/>
      <c r="T45" s="16"/>
      <c r="U45" s="16"/>
      <c r="V45" s="16"/>
      <c r="W45" s="16"/>
      <c r="X45" s="16"/>
      <c r="Y45" s="16"/>
      <c r="Z45" s="16"/>
      <c r="AA45" s="18"/>
      <c r="AB45" s="18"/>
      <c r="AC45" s="18"/>
      <c r="AD45" s="18"/>
      <c r="AE45" s="18"/>
      <c r="AF45" s="19" t="n">
        <f aca="false">IF($B45="","",IF(AND(Consulta!$B$11="Sim",$L45&lt;&gt;"Sim"),-9999,IF($H45=Consulta!$B$5,-9999,IF(AND(Consulta!$B$3&lt;&gt;"Qualquer",ISNUMBER(SEARCH(Consulta!$B$3,$AA45))),-9999,IF(AND(Consulta!$B$10="Sim",$V45&lt;&gt;"Sim"),-9999,IF(OR(Consulta!$B$3="Qualquer",ISNUMBER(SEARCH(Consulta!$B$3,$P45))),3,0)+IF(OR(Consulta!$B$12="Qualquer",ISNUMBER(SEARCH(Consulta!$B$12,$Q45))),2,0)+IF(OR(Consulta!$B$4="Qualquer",ISNUMBER(SEARCH(Consulta!$B$4,$R45))),3,0)+IF(Consulta!$B$6="Qualquer",0,IF($O45=Consulta!$B$6,2,-1))+IF(Consulta!$B$7="Não",0,IF($U45="Sim",3,IF($U45="Não",-6,0)))+IF(Consulta!$B$8="Qualquer",0,IF($C45=Consulta!$B$8,2,-3))+IF(Consulta!$B$9="Qualquer",0,IF($D45=Consulta!$B$9,2,-1))+IF($N45="",0,$N45)-ROW()/100000)))))</f>
        <v>7.99955</v>
      </c>
    </row>
    <row r="46" customFormat="false" ht="15" hidden="false" customHeight="false" outlineLevel="0" collapsed="false">
      <c r="A46" s="14" t="n">
        <v>4</v>
      </c>
      <c r="B46" s="15" t="s">
        <v>345</v>
      </c>
      <c r="C46" s="14" t="s">
        <v>99</v>
      </c>
      <c r="D46" s="14" t="s">
        <v>164</v>
      </c>
      <c r="E46" s="15" t="s">
        <v>346</v>
      </c>
      <c r="F46" s="14"/>
      <c r="G46" s="14"/>
      <c r="H46" s="14"/>
      <c r="I46" s="15"/>
      <c r="J46" s="14" t="s">
        <v>91</v>
      </c>
      <c r="K46" s="15" t="s">
        <v>347</v>
      </c>
      <c r="L46" s="16" t="s">
        <v>52</v>
      </c>
      <c r="M46" s="17"/>
      <c r="N46" s="16"/>
      <c r="O46" s="16"/>
      <c r="P46" s="18"/>
      <c r="Q46" s="16"/>
      <c r="R46" s="18"/>
      <c r="S46" s="16"/>
      <c r="T46" s="16"/>
      <c r="U46" s="16"/>
      <c r="V46" s="16"/>
      <c r="W46" s="16"/>
      <c r="X46" s="16"/>
      <c r="Y46" s="16"/>
      <c r="Z46" s="16"/>
      <c r="AA46" s="18"/>
      <c r="AB46" s="18"/>
      <c r="AC46" s="18"/>
      <c r="AD46" s="18"/>
      <c r="AE46" s="18"/>
      <c r="AF46" s="19" t="n">
        <f aca="false">IF($B46="","",IF(AND(Consulta!$B$11="Sim",$L46&lt;&gt;"Sim"),-9999,IF($H46=Consulta!$B$5,-9999,IF(AND(Consulta!$B$3&lt;&gt;"Qualquer",ISNUMBER(SEARCH(Consulta!$B$3,$AA46))),-9999,IF(AND(Consulta!$B$10="Sim",$V46&lt;&gt;"Sim"),-9999,IF(OR(Consulta!$B$3="Qualquer",ISNUMBER(SEARCH(Consulta!$B$3,$P46))),3,0)+IF(OR(Consulta!$B$12="Qualquer",ISNUMBER(SEARCH(Consulta!$B$12,$Q46))),2,0)+IF(OR(Consulta!$B$4="Qualquer",ISNUMBER(SEARCH(Consulta!$B$4,$R46))),3,0)+IF(Consulta!$B$6="Qualquer",0,IF($O46=Consulta!$B$6,2,-1))+IF(Consulta!$B$7="Não",0,IF($U46="Sim",3,IF($U46="Não",-6,0)))+IF(Consulta!$B$8="Qualquer",0,IF($C46=Consulta!$B$8,2,-3))+IF(Consulta!$B$9="Qualquer",0,IF($D46=Consulta!$B$9,2,-1))+IF($N46="",0,$N46)-ROW()/100000)))))</f>
        <v>7.99954</v>
      </c>
    </row>
    <row r="47" customFormat="false" ht="15" hidden="false" customHeight="false" outlineLevel="0" collapsed="false">
      <c r="A47" s="14" t="n">
        <v>5</v>
      </c>
      <c r="B47" s="15" t="s">
        <v>348</v>
      </c>
      <c r="C47" s="14" t="s">
        <v>163</v>
      </c>
      <c r="D47" s="14" t="s">
        <v>177</v>
      </c>
      <c r="E47" s="15" t="s">
        <v>349</v>
      </c>
      <c r="F47" s="14"/>
      <c r="G47" s="14"/>
      <c r="H47" s="14" t="s">
        <v>157</v>
      </c>
      <c r="I47" s="15" t="s">
        <v>350</v>
      </c>
      <c r="J47" s="14" t="s">
        <v>126</v>
      </c>
      <c r="K47" s="15" t="s">
        <v>261</v>
      </c>
      <c r="L47" s="16" t="s">
        <v>52</v>
      </c>
      <c r="M47" s="17"/>
      <c r="N47" s="16"/>
      <c r="O47" s="16"/>
      <c r="P47" s="18"/>
      <c r="Q47" s="16"/>
      <c r="R47" s="18"/>
      <c r="S47" s="16"/>
      <c r="T47" s="16"/>
      <c r="U47" s="16"/>
      <c r="V47" s="16"/>
      <c r="W47" s="16"/>
      <c r="X47" s="16"/>
      <c r="Y47" s="16"/>
      <c r="Z47" s="16"/>
      <c r="AA47" s="18"/>
      <c r="AB47" s="18"/>
      <c r="AC47" s="18"/>
      <c r="AD47" s="18"/>
      <c r="AE47" s="18"/>
      <c r="AF47" s="19" t="n">
        <f aca="false">IF($B47="","",IF(AND(Consulta!$B$11="Sim",$L47&lt;&gt;"Sim"),-9999,IF($H47=Consulta!$B$5,-9999,IF(AND(Consulta!$B$3&lt;&gt;"Qualquer",ISNUMBER(SEARCH(Consulta!$B$3,$AA47))),-9999,IF(AND(Consulta!$B$10="Sim",$V47&lt;&gt;"Sim"),-9999,IF(OR(Consulta!$B$3="Qualquer",ISNUMBER(SEARCH(Consulta!$B$3,$P47))),3,0)+IF(OR(Consulta!$B$12="Qualquer",ISNUMBER(SEARCH(Consulta!$B$12,$Q47))),2,0)+IF(OR(Consulta!$B$4="Qualquer",ISNUMBER(SEARCH(Consulta!$B$4,$R47))),3,0)+IF(Consulta!$B$6="Qualquer",0,IF($O47=Consulta!$B$6,2,-1))+IF(Consulta!$B$7="Não",0,IF($U47="Sim",3,IF($U47="Não",-6,0)))+IF(Consulta!$B$8="Qualquer",0,IF($C47=Consulta!$B$8,2,-3))+IF(Consulta!$B$9="Qualquer",0,IF($D47=Consulta!$B$9,2,-1))+IF($N47="",0,$N47)-ROW()/100000)))))</f>
        <v>7.99953</v>
      </c>
    </row>
    <row r="48" customFormat="false" ht="15" hidden="false" customHeight="false" outlineLevel="0" collapsed="false">
      <c r="A48" s="14" t="n">
        <v>5</v>
      </c>
      <c r="B48" s="15" t="s">
        <v>351</v>
      </c>
      <c r="C48" s="14" t="s">
        <v>163</v>
      </c>
      <c r="D48" s="14" t="s">
        <v>177</v>
      </c>
      <c r="E48" s="15" t="s">
        <v>351</v>
      </c>
      <c r="F48" s="14"/>
      <c r="G48" s="14"/>
      <c r="H48" s="14" t="s">
        <v>157</v>
      </c>
      <c r="I48" s="15"/>
      <c r="J48" s="14" t="s">
        <v>126</v>
      </c>
      <c r="K48" s="15" t="s">
        <v>261</v>
      </c>
      <c r="L48" s="16" t="s">
        <v>52</v>
      </c>
      <c r="M48" s="17"/>
      <c r="N48" s="16"/>
      <c r="O48" s="16"/>
      <c r="P48" s="18"/>
      <c r="Q48" s="16"/>
      <c r="R48" s="18"/>
      <c r="S48" s="16"/>
      <c r="T48" s="16"/>
      <c r="U48" s="16"/>
      <c r="V48" s="16"/>
      <c r="W48" s="16"/>
      <c r="X48" s="16"/>
      <c r="Y48" s="16"/>
      <c r="Z48" s="16"/>
      <c r="AA48" s="18"/>
      <c r="AB48" s="18"/>
      <c r="AC48" s="18"/>
      <c r="AD48" s="18"/>
      <c r="AE48" s="18"/>
      <c r="AF48" s="19" t="n">
        <f aca="false">IF($B48="","",IF(AND(Consulta!$B$11="Sim",$L48&lt;&gt;"Sim"),-9999,IF($H48=Consulta!$B$5,-9999,IF(AND(Consulta!$B$3&lt;&gt;"Qualquer",ISNUMBER(SEARCH(Consulta!$B$3,$AA48))),-9999,IF(AND(Consulta!$B$10="Sim",$V48&lt;&gt;"Sim"),-9999,IF(OR(Consulta!$B$3="Qualquer",ISNUMBER(SEARCH(Consulta!$B$3,$P48))),3,0)+IF(OR(Consulta!$B$12="Qualquer",ISNUMBER(SEARCH(Consulta!$B$12,$Q48))),2,0)+IF(OR(Consulta!$B$4="Qualquer",ISNUMBER(SEARCH(Consulta!$B$4,$R48))),3,0)+IF(Consulta!$B$6="Qualquer",0,IF($O48=Consulta!$B$6,2,-1))+IF(Consulta!$B$7="Não",0,IF($U48="Sim",3,IF($U48="Não",-6,0)))+IF(Consulta!$B$8="Qualquer",0,IF($C48=Consulta!$B$8,2,-3))+IF(Consulta!$B$9="Qualquer",0,IF($D48=Consulta!$B$9,2,-1))+IF($N48="",0,$N48)-ROW()/100000)))))</f>
        <v>7.99952</v>
      </c>
    </row>
    <row r="49" customFormat="false" ht="15" hidden="false" customHeight="false" outlineLevel="0" collapsed="false">
      <c r="A49" s="14" t="n">
        <v>5</v>
      </c>
      <c r="B49" s="15" t="s">
        <v>352</v>
      </c>
      <c r="C49" s="14" t="s">
        <v>163</v>
      </c>
      <c r="D49" s="14" t="s">
        <v>177</v>
      </c>
      <c r="E49" s="15" t="s">
        <v>352</v>
      </c>
      <c r="F49" s="14"/>
      <c r="G49" s="14"/>
      <c r="H49" s="14" t="s">
        <v>157</v>
      </c>
      <c r="I49" s="15"/>
      <c r="J49" s="14" t="s">
        <v>126</v>
      </c>
      <c r="K49" s="15" t="s">
        <v>315</v>
      </c>
      <c r="L49" s="16" t="s">
        <v>52</v>
      </c>
      <c r="M49" s="17"/>
      <c r="N49" s="16"/>
      <c r="O49" s="16"/>
      <c r="P49" s="18"/>
      <c r="Q49" s="16"/>
      <c r="R49" s="18"/>
      <c r="S49" s="16"/>
      <c r="T49" s="16"/>
      <c r="U49" s="16"/>
      <c r="V49" s="16"/>
      <c r="W49" s="16"/>
      <c r="X49" s="16"/>
      <c r="Y49" s="16"/>
      <c r="Z49" s="16"/>
      <c r="AA49" s="18"/>
      <c r="AB49" s="18"/>
      <c r="AC49" s="18"/>
      <c r="AD49" s="18"/>
      <c r="AE49" s="18"/>
      <c r="AF49" s="19" t="n">
        <f aca="false">IF($B49="","",IF(AND(Consulta!$B$11="Sim",$L49&lt;&gt;"Sim"),-9999,IF($H49=Consulta!$B$5,-9999,IF(AND(Consulta!$B$3&lt;&gt;"Qualquer",ISNUMBER(SEARCH(Consulta!$B$3,$AA49))),-9999,IF(AND(Consulta!$B$10="Sim",$V49&lt;&gt;"Sim"),-9999,IF(OR(Consulta!$B$3="Qualquer",ISNUMBER(SEARCH(Consulta!$B$3,$P49))),3,0)+IF(OR(Consulta!$B$12="Qualquer",ISNUMBER(SEARCH(Consulta!$B$12,$Q49))),2,0)+IF(OR(Consulta!$B$4="Qualquer",ISNUMBER(SEARCH(Consulta!$B$4,$R49))),3,0)+IF(Consulta!$B$6="Qualquer",0,IF($O49=Consulta!$B$6,2,-1))+IF(Consulta!$B$7="Não",0,IF($U49="Sim",3,IF($U49="Não",-6,0)))+IF(Consulta!$B$8="Qualquer",0,IF($C49=Consulta!$B$8,2,-3))+IF(Consulta!$B$9="Qualquer",0,IF($D49=Consulta!$B$9,2,-1))+IF($N49="",0,$N49)-ROW()/100000)))))</f>
        <v>7.99951</v>
      </c>
    </row>
    <row r="50" customFormat="false" ht="15" hidden="false" customHeight="false" outlineLevel="0" collapsed="false">
      <c r="A50" s="14" t="n">
        <v>5</v>
      </c>
      <c r="B50" s="15" t="s">
        <v>353</v>
      </c>
      <c r="C50" s="14" t="s">
        <v>88</v>
      </c>
      <c r="D50" s="14" t="s">
        <v>177</v>
      </c>
      <c r="E50" s="15" t="s">
        <v>354</v>
      </c>
      <c r="F50" s="14"/>
      <c r="G50" s="14"/>
      <c r="H50" s="14" t="s">
        <v>90</v>
      </c>
      <c r="I50" s="15"/>
      <c r="J50" s="14" t="s">
        <v>91</v>
      </c>
      <c r="K50" s="15" t="s">
        <v>315</v>
      </c>
      <c r="L50" s="16" t="s">
        <v>52</v>
      </c>
      <c r="M50" s="17"/>
      <c r="N50" s="16"/>
      <c r="O50" s="16"/>
      <c r="P50" s="18"/>
      <c r="Q50" s="16"/>
      <c r="R50" s="18"/>
      <c r="S50" s="16"/>
      <c r="T50" s="16"/>
      <c r="U50" s="16"/>
      <c r="V50" s="16"/>
      <c r="W50" s="16"/>
      <c r="X50" s="16"/>
      <c r="Y50" s="16"/>
      <c r="Z50" s="16"/>
      <c r="AA50" s="18"/>
      <c r="AB50" s="18"/>
      <c r="AC50" s="18"/>
      <c r="AD50" s="18"/>
      <c r="AE50" s="18"/>
      <c r="AF50" s="19" t="n">
        <f aca="false">IF($B50="","",IF(AND(Consulta!$B$11="Sim",$L50&lt;&gt;"Sim"),-9999,IF($H50=Consulta!$B$5,-9999,IF(AND(Consulta!$B$3&lt;&gt;"Qualquer",ISNUMBER(SEARCH(Consulta!$B$3,$AA50))),-9999,IF(AND(Consulta!$B$10="Sim",$V50&lt;&gt;"Sim"),-9999,IF(OR(Consulta!$B$3="Qualquer",ISNUMBER(SEARCH(Consulta!$B$3,$P50))),3,0)+IF(OR(Consulta!$B$12="Qualquer",ISNUMBER(SEARCH(Consulta!$B$12,$Q50))),2,0)+IF(OR(Consulta!$B$4="Qualquer",ISNUMBER(SEARCH(Consulta!$B$4,$R50))),3,0)+IF(Consulta!$B$6="Qualquer",0,IF($O50=Consulta!$B$6,2,-1))+IF(Consulta!$B$7="Não",0,IF($U50="Sim",3,IF($U50="Não",-6,0)))+IF(Consulta!$B$8="Qualquer",0,IF($C50=Consulta!$B$8,2,-3))+IF(Consulta!$B$9="Qualquer",0,IF($D50=Consulta!$B$9,2,-1))+IF($N50="",0,$N50)-ROW()/100000)))))</f>
        <v>7.9995</v>
      </c>
    </row>
    <row r="51" customFormat="false" ht="15" hidden="false" customHeight="false" outlineLevel="0" collapsed="false">
      <c r="A51" s="14" t="n">
        <v>5</v>
      </c>
      <c r="B51" s="15" t="s">
        <v>355</v>
      </c>
      <c r="C51" s="14" t="s">
        <v>88</v>
      </c>
      <c r="D51" s="14" t="s">
        <v>177</v>
      </c>
      <c r="E51" s="15" t="s">
        <v>356</v>
      </c>
      <c r="F51" s="14"/>
      <c r="G51" s="14" t="s">
        <v>357</v>
      </c>
      <c r="H51" s="14"/>
      <c r="I51" s="15"/>
      <c r="J51" s="14" t="s">
        <v>102</v>
      </c>
      <c r="K51" s="15" t="s">
        <v>261</v>
      </c>
      <c r="L51" s="16" t="s">
        <v>52</v>
      </c>
      <c r="M51" s="17"/>
      <c r="N51" s="16"/>
      <c r="O51" s="16"/>
      <c r="P51" s="18"/>
      <c r="Q51" s="16"/>
      <c r="R51" s="18"/>
      <c r="S51" s="16"/>
      <c r="T51" s="16"/>
      <c r="U51" s="16"/>
      <c r="V51" s="16"/>
      <c r="W51" s="16"/>
      <c r="X51" s="16"/>
      <c r="Y51" s="16"/>
      <c r="Z51" s="16"/>
      <c r="AA51" s="18"/>
      <c r="AB51" s="18"/>
      <c r="AC51" s="18"/>
      <c r="AD51" s="18"/>
      <c r="AE51" s="18"/>
      <c r="AF51" s="19" t="n">
        <f aca="false">IF($B51="","",IF(AND(Consulta!$B$11="Sim",$L51&lt;&gt;"Sim"),-9999,IF($H51=Consulta!$B$5,-9999,IF(AND(Consulta!$B$3&lt;&gt;"Qualquer",ISNUMBER(SEARCH(Consulta!$B$3,$AA51))),-9999,IF(AND(Consulta!$B$10="Sim",$V51&lt;&gt;"Sim"),-9999,IF(OR(Consulta!$B$3="Qualquer",ISNUMBER(SEARCH(Consulta!$B$3,$P51))),3,0)+IF(OR(Consulta!$B$12="Qualquer",ISNUMBER(SEARCH(Consulta!$B$12,$Q51))),2,0)+IF(OR(Consulta!$B$4="Qualquer",ISNUMBER(SEARCH(Consulta!$B$4,$R51))),3,0)+IF(Consulta!$B$6="Qualquer",0,IF($O51=Consulta!$B$6,2,-1))+IF(Consulta!$B$7="Não",0,IF($U51="Sim",3,IF($U51="Não",-6,0)))+IF(Consulta!$B$8="Qualquer",0,IF($C51=Consulta!$B$8,2,-3))+IF(Consulta!$B$9="Qualquer",0,IF($D51=Consulta!$B$9,2,-1))+IF($N51="",0,$N51)-ROW()/100000)))))</f>
        <v>7.99949</v>
      </c>
    </row>
    <row r="52" customFormat="false" ht="15" hidden="false" customHeight="false" outlineLevel="0" collapsed="false">
      <c r="A52" s="14" t="n">
        <v>5</v>
      </c>
      <c r="B52" s="15" t="s">
        <v>358</v>
      </c>
      <c r="C52" s="14" t="s">
        <v>161</v>
      </c>
      <c r="D52" s="14" t="s">
        <v>177</v>
      </c>
      <c r="E52" s="15" t="s">
        <v>359</v>
      </c>
      <c r="F52" s="14" t="s">
        <v>360</v>
      </c>
      <c r="G52" s="14" t="s">
        <v>361</v>
      </c>
      <c r="H52" s="14" t="s">
        <v>157</v>
      </c>
      <c r="I52" s="15"/>
      <c r="J52" s="14" t="s">
        <v>102</v>
      </c>
      <c r="K52" s="15" t="s">
        <v>261</v>
      </c>
      <c r="L52" s="16" t="s">
        <v>52</v>
      </c>
      <c r="M52" s="17"/>
      <c r="N52" s="16"/>
      <c r="O52" s="16"/>
      <c r="P52" s="18"/>
      <c r="Q52" s="16"/>
      <c r="R52" s="18"/>
      <c r="S52" s="16"/>
      <c r="T52" s="16"/>
      <c r="U52" s="16"/>
      <c r="V52" s="16"/>
      <c r="W52" s="16"/>
      <c r="X52" s="16"/>
      <c r="Y52" s="16"/>
      <c r="Z52" s="16"/>
      <c r="AA52" s="18"/>
      <c r="AB52" s="18"/>
      <c r="AC52" s="18"/>
      <c r="AD52" s="18"/>
      <c r="AE52" s="18"/>
      <c r="AF52" s="19" t="n">
        <f aca="false">IF($B52="","",IF(AND(Consulta!$B$11="Sim",$L52&lt;&gt;"Sim"),-9999,IF($H52=Consulta!$B$5,-9999,IF(AND(Consulta!$B$3&lt;&gt;"Qualquer",ISNUMBER(SEARCH(Consulta!$B$3,$AA52))),-9999,IF(AND(Consulta!$B$10="Sim",$V52&lt;&gt;"Sim"),-9999,IF(OR(Consulta!$B$3="Qualquer",ISNUMBER(SEARCH(Consulta!$B$3,$P52))),3,0)+IF(OR(Consulta!$B$12="Qualquer",ISNUMBER(SEARCH(Consulta!$B$12,$Q52))),2,0)+IF(OR(Consulta!$B$4="Qualquer",ISNUMBER(SEARCH(Consulta!$B$4,$R52))),3,0)+IF(Consulta!$B$6="Qualquer",0,IF($O52=Consulta!$B$6,2,-1))+IF(Consulta!$B$7="Não",0,IF($U52="Sim",3,IF($U52="Não",-6,0)))+IF(Consulta!$B$8="Qualquer",0,IF($C52=Consulta!$B$8,2,-3))+IF(Consulta!$B$9="Qualquer",0,IF($D52=Consulta!$B$9,2,-1))+IF($N52="",0,$N52)-ROW()/100000)))))</f>
        <v>7.99948</v>
      </c>
    </row>
    <row r="53" customFormat="false" ht="15" hidden="false" customHeight="false" outlineLevel="0" collapsed="false">
      <c r="A53" s="14" t="n">
        <v>5</v>
      </c>
      <c r="B53" s="15" t="s">
        <v>362</v>
      </c>
      <c r="C53" s="14" t="s">
        <v>161</v>
      </c>
      <c r="D53" s="14" t="s">
        <v>177</v>
      </c>
      <c r="E53" s="15" t="s">
        <v>363</v>
      </c>
      <c r="F53" s="14"/>
      <c r="G53" s="14" t="s">
        <v>364</v>
      </c>
      <c r="H53" s="14" t="s">
        <v>157</v>
      </c>
      <c r="I53" s="15"/>
      <c r="J53" s="14" t="s">
        <v>102</v>
      </c>
      <c r="K53" s="15" t="s">
        <v>261</v>
      </c>
      <c r="L53" s="16" t="s">
        <v>52</v>
      </c>
      <c r="M53" s="17"/>
      <c r="N53" s="16"/>
      <c r="O53" s="16"/>
      <c r="P53" s="18"/>
      <c r="Q53" s="16"/>
      <c r="R53" s="18"/>
      <c r="S53" s="16"/>
      <c r="T53" s="16"/>
      <c r="U53" s="16"/>
      <c r="V53" s="16"/>
      <c r="W53" s="16"/>
      <c r="X53" s="16"/>
      <c r="Y53" s="16"/>
      <c r="Z53" s="16"/>
      <c r="AA53" s="18"/>
      <c r="AB53" s="18"/>
      <c r="AC53" s="18"/>
      <c r="AD53" s="18"/>
      <c r="AE53" s="18"/>
      <c r="AF53" s="19" t="n">
        <f aca="false">IF($B53="","",IF(AND(Consulta!$B$11="Sim",$L53&lt;&gt;"Sim"),-9999,IF($H53=Consulta!$B$5,-9999,IF(AND(Consulta!$B$3&lt;&gt;"Qualquer",ISNUMBER(SEARCH(Consulta!$B$3,$AA53))),-9999,IF(AND(Consulta!$B$10="Sim",$V53&lt;&gt;"Sim"),-9999,IF(OR(Consulta!$B$3="Qualquer",ISNUMBER(SEARCH(Consulta!$B$3,$P53))),3,0)+IF(OR(Consulta!$B$12="Qualquer",ISNUMBER(SEARCH(Consulta!$B$12,$Q53))),2,0)+IF(OR(Consulta!$B$4="Qualquer",ISNUMBER(SEARCH(Consulta!$B$4,$R53))),3,0)+IF(Consulta!$B$6="Qualquer",0,IF($O53=Consulta!$B$6,2,-1))+IF(Consulta!$B$7="Não",0,IF($U53="Sim",3,IF($U53="Não",-6,0)))+IF(Consulta!$B$8="Qualquer",0,IF($C53=Consulta!$B$8,2,-3))+IF(Consulta!$B$9="Qualquer",0,IF($D53=Consulta!$B$9,2,-1))+IF($N53="",0,$N53)-ROW()/100000)))))</f>
        <v>7.99947</v>
      </c>
    </row>
    <row r="54" customFormat="false" ht="15" hidden="false" customHeight="false" outlineLevel="0" collapsed="false">
      <c r="A54" s="14" t="n">
        <v>5</v>
      </c>
      <c r="B54" s="15" t="s">
        <v>365</v>
      </c>
      <c r="C54" s="14" t="s">
        <v>161</v>
      </c>
      <c r="D54" s="14" t="s">
        <v>177</v>
      </c>
      <c r="E54" s="15" t="s">
        <v>366</v>
      </c>
      <c r="F54" s="14" t="s">
        <v>367</v>
      </c>
      <c r="G54" s="14" t="s">
        <v>368</v>
      </c>
      <c r="H54" s="14" t="s">
        <v>157</v>
      </c>
      <c r="I54" s="15" t="s">
        <v>369</v>
      </c>
      <c r="J54" s="14" t="s">
        <v>102</v>
      </c>
      <c r="K54" s="15" t="s">
        <v>315</v>
      </c>
      <c r="L54" s="16" t="s">
        <v>52</v>
      </c>
      <c r="M54" s="17"/>
      <c r="N54" s="16"/>
      <c r="O54" s="16"/>
      <c r="P54" s="18"/>
      <c r="Q54" s="16"/>
      <c r="R54" s="18"/>
      <c r="S54" s="16"/>
      <c r="T54" s="16"/>
      <c r="U54" s="16"/>
      <c r="V54" s="16"/>
      <c r="W54" s="16"/>
      <c r="X54" s="16"/>
      <c r="Y54" s="16"/>
      <c r="Z54" s="16"/>
      <c r="AA54" s="18"/>
      <c r="AB54" s="18"/>
      <c r="AC54" s="18"/>
      <c r="AD54" s="18"/>
      <c r="AE54" s="18"/>
      <c r="AF54" s="19" t="n">
        <f aca="false">IF($B54="","",IF(AND(Consulta!$B$11="Sim",$L54&lt;&gt;"Sim"),-9999,IF($H54=Consulta!$B$5,-9999,IF(AND(Consulta!$B$3&lt;&gt;"Qualquer",ISNUMBER(SEARCH(Consulta!$B$3,$AA54))),-9999,IF(AND(Consulta!$B$10="Sim",$V54&lt;&gt;"Sim"),-9999,IF(OR(Consulta!$B$3="Qualquer",ISNUMBER(SEARCH(Consulta!$B$3,$P54))),3,0)+IF(OR(Consulta!$B$12="Qualquer",ISNUMBER(SEARCH(Consulta!$B$12,$Q54))),2,0)+IF(OR(Consulta!$B$4="Qualquer",ISNUMBER(SEARCH(Consulta!$B$4,$R54))),3,0)+IF(Consulta!$B$6="Qualquer",0,IF($O54=Consulta!$B$6,2,-1))+IF(Consulta!$B$7="Não",0,IF($U54="Sim",3,IF($U54="Não",-6,0)))+IF(Consulta!$B$8="Qualquer",0,IF($C54=Consulta!$B$8,2,-3))+IF(Consulta!$B$9="Qualquer",0,IF($D54=Consulta!$B$9,2,-1))+IF($N54="",0,$N54)-ROW()/100000)))))</f>
        <v>7.99946</v>
      </c>
    </row>
    <row r="55" customFormat="false" ht="15" hidden="false" customHeight="false" outlineLevel="0" collapsed="false">
      <c r="A55" s="14" t="n">
        <v>5</v>
      </c>
      <c r="B55" s="15" t="s">
        <v>370</v>
      </c>
      <c r="C55" s="14" t="s">
        <v>155</v>
      </c>
      <c r="D55" s="14" t="s">
        <v>177</v>
      </c>
      <c r="E55" s="15" t="s">
        <v>371</v>
      </c>
      <c r="F55" s="14" t="s">
        <v>372</v>
      </c>
      <c r="G55" s="14" t="s">
        <v>373</v>
      </c>
      <c r="H55" s="14"/>
      <c r="I55" s="15"/>
      <c r="J55" s="14" t="s">
        <v>91</v>
      </c>
      <c r="K55" s="15" t="s">
        <v>261</v>
      </c>
      <c r="L55" s="16" t="s">
        <v>52</v>
      </c>
      <c r="M55" s="17"/>
      <c r="N55" s="16"/>
      <c r="O55" s="16"/>
      <c r="P55" s="18"/>
      <c r="Q55" s="16"/>
      <c r="R55" s="18"/>
      <c r="S55" s="16"/>
      <c r="T55" s="16"/>
      <c r="U55" s="16"/>
      <c r="V55" s="16"/>
      <c r="W55" s="16"/>
      <c r="X55" s="16"/>
      <c r="Y55" s="16"/>
      <c r="Z55" s="16"/>
      <c r="AA55" s="18"/>
      <c r="AB55" s="18"/>
      <c r="AC55" s="18"/>
      <c r="AD55" s="18"/>
      <c r="AE55" s="18"/>
      <c r="AF55" s="19" t="n">
        <f aca="false">IF($B55="","",IF(AND(Consulta!$B$11="Sim",$L55&lt;&gt;"Sim"),-9999,IF($H55=Consulta!$B$5,-9999,IF(AND(Consulta!$B$3&lt;&gt;"Qualquer",ISNUMBER(SEARCH(Consulta!$B$3,$AA55))),-9999,IF(AND(Consulta!$B$10="Sim",$V55&lt;&gt;"Sim"),-9999,IF(OR(Consulta!$B$3="Qualquer",ISNUMBER(SEARCH(Consulta!$B$3,$P55))),3,0)+IF(OR(Consulta!$B$12="Qualquer",ISNUMBER(SEARCH(Consulta!$B$12,$Q55))),2,0)+IF(OR(Consulta!$B$4="Qualquer",ISNUMBER(SEARCH(Consulta!$B$4,$R55))),3,0)+IF(Consulta!$B$6="Qualquer",0,IF($O55=Consulta!$B$6,2,-1))+IF(Consulta!$B$7="Não",0,IF($U55="Sim",3,IF($U55="Não",-6,0)))+IF(Consulta!$B$8="Qualquer",0,IF($C55=Consulta!$B$8,2,-3))+IF(Consulta!$B$9="Qualquer",0,IF($D55=Consulta!$B$9,2,-1))+IF($N55="",0,$N55)-ROW()/100000)))))</f>
        <v>7.99945</v>
      </c>
    </row>
    <row r="56" customFormat="false" ht="15" hidden="false" customHeight="false" outlineLevel="0" collapsed="false">
      <c r="A56" s="14" t="n">
        <v>5</v>
      </c>
      <c r="B56" s="15" t="s">
        <v>374</v>
      </c>
      <c r="C56" s="14" t="s">
        <v>163</v>
      </c>
      <c r="D56" s="14" t="s">
        <v>156</v>
      </c>
      <c r="E56" s="15" t="s">
        <v>374</v>
      </c>
      <c r="F56" s="14"/>
      <c r="G56" s="14"/>
      <c r="H56" s="14" t="s">
        <v>157</v>
      </c>
      <c r="I56" s="15"/>
      <c r="J56" s="14" t="s">
        <v>91</v>
      </c>
      <c r="K56" s="15" t="s">
        <v>291</v>
      </c>
      <c r="L56" s="16" t="s">
        <v>52</v>
      </c>
      <c r="M56" s="17"/>
      <c r="N56" s="16"/>
      <c r="O56" s="16"/>
      <c r="P56" s="18"/>
      <c r="Q56" s="16"/>
      <c r="R56" s="18"/>
      <c r="S56" s="16"/>
      <c r="T56" s="16"/>
      <c r="U56" s="16"/>
      <c r="V56" s="16"/>
      <c r="W56" s="16"/>
      <c r="X56" s="16"/>
      <c r="Y56" s="16"/>
      <c r="Z56" s="16"/>
      <c r="AA56" s="18"/>
      <c r="AB56" s="18"/>
      <c r="AC56" s="18"/>
      <c r="AD56" s="18"/>
      <c r="AE56" s="18"/>
      <c r="AF56" s="19" t="n">
        <f aca="false">IF($B56="","",IF(AND(Consulta!$B$11="Sim",$L56&lt;&gt;"Sim"),-9999,IF($H56=Consulta!$B$5,-9999,IF(AND(Consulta!$B$3&lt;&gt;"Qualquer",ISNUMBER(SEARCH(Consulta!$B$3,$AA56))),-9999,IF(AND(Consulta!$B$10="Sim",$V56&lt;&gt;"Sim"),-9999,IF(OR(Consulta!$B$3="Qualquer",ISNUMBER(SEARCH(Consulta!$B$3,$P56))),3,0)+IF(OR(Consulta!$B$12="Qualquer",ISNUMBER(SEARCH(Consulta!$B$12,$Q56))),2,0)+IF(OR(Consulta!$B$4="Qualquer",ISNUMBER(SEARCH(Consulta!$B$4,$R56))),3,0)+IF(Consulta!$B$6="Qualquer",0,IF($O56=Consulta!$B$6,2,-1))+IF(Consulta!$B$7="Não",0,IF($U56="Sim",3,IF($U56="Não",-6,0)))+IF(Consulta!$B$8="Qualquer",0,IF($C56=Consulta!$B$8,2,-3))+IF(Consulta!$B$9="Qualquer",0,IF($D56=Consulta!$B$9,2,-1))+IF($N56="",0,$N56)-ROW()/100000)))))</f>
        <v>7.99944</v>
      </c>
    </row>
    <row r="57" customFormat="false" ht="15" hidden="false" customHeight="false" outlineLevel="0" collapsed="false">
      <c r="A57" s="14" t="n">
        <v>6</v>
      </c>
      <c r="B57" s="15" t="s">
        <v>375</v>
      </c>
      <c r="C57" s="14" t="s">
        <v>88</v>
      </c>
      <c r="D57" s="14" t="s">
        <v>124</v>
      </c>
      <c r="E57" s="15" t="s">
        <v>376</v>
      </c>
      <c r="F57" s="14"/>
      <c r="G57" s="14" t="s">
        <v>377</v>
      </c>
      <c r="H57" s="14" t="s">
        <v>90</v>
      </c>
      <c r="I57" s="15" t="s">
        <v>378</v>
      </c>
      <c r="J57" s="14" t="s">
        <v>102</v>
      </c>
      <c r="K57" s="15" t="s">
        <v>379</v>
      </c>
      <c r="L57" s="16" t="s">
        <v>52</v>
      </c>
      <c r="M57" s="17"/>
      <c r="N57" s="16"/>
      <c r="O57" s="16"/>
      <c r="P57" s="18"/>
      <c r="Q57" s="16"/>
      <c r="R57" s="18"/>
      <c r="S57" s="16"/>
      <c r="T57" s="16"/>
      <c r="U57" s="16"/>
      <c r="V57" s="16"/>
      <c r="W57" s="16"/>
      <c r="X57" s="16"/>
      <c r="Y57" s="16"/>
      <c r="Z57" s="16"/>
      <c r="AA57" s="18"/>
      <c r="AB57" s="18"/>
      <c r="AC57" s="18"/>
      <c r="AD57" s="18"/>
      <c r="AE57" s="18"/>
      <c r="AF57" s="19" t="n">
        <f aca="false">IF($B57="","",IF(AND(Consulta!$B$11="Sim",$L57&lt;&gt;"Sim"),-9999,IF($H57=Consulta!$B$5,-9999,IF(AND(Consulta!$B$3&lt;&gt;"Qualquer",ISNUMBER(SEARCH(Consulta!$B$3,$AA57))),-9999,IF(AND(Consulta!$B$10="Sim",$V57&lt;&gt;"Sim"),-9999,IF(OR(Consulta!$B$3="Qualquer",ISNUMBER(SEARCH(Consulta!$B$3,$P57))),3,0)+IF(OR(Consulta!$B$12="Qualquer",ISNUMBER(SEARCH(Consulta!$B$12,$Q57))),2,0)+IF(OR(Consulta!$B$4="Qualquer",ISNUMBER(SEARCH(Consulta!$B$4,$R57))),3,0)+IF(Consulta!$B$6="Qualquer",0,IF($O57=Consulta!$B$6,2,-1))+IF(Consulta!$B$7="Não",0,IF($U57="Sim",3,IF($U57="Não",-6,0)))+IF(Consulta!$B$8="Qualquer",0,IF($C57=Consulta!$B$8,2,-3))+IF(Consulta!$B$9="Qualquer",0,IF($D57=Consulta!$B$9,2,-1))+IF($N57="",0,$N57)-ROW()/100000)))))</f>
        <v>7.99943</v>
      </c>
    </row>
    <row r="58" customFormat="false" ht="15" hidden="false" customHeight="false" outlineLevel="0" collapsed="false">
      <c r="A58" s="14" t="n">
        <v>6</v>
      </c>
      <c r="B58" s="15" t="s">
        <v>380</v>
      </c>
      <c r="C58" s="14" t="s">
        <v>88</v>
      </c>
      <c r="D58" s="14" t="s">
        <v>181</v>
      </c>
      <c r="E58" s="15" t="s">
        <v>381</v>
      </c>
      <c r="F58" s="14"/>
      <c r="G58" s="14" t="s">
        <v>382</v>
      </c>
      <c r="H58" s="14" t="s">
        <v>90</v>
      </c>
      <c r="I58" s="15"/>
      <c r="J58" s="14" t="s">
        <v>91</v>
      </c>
      <c r="K58" s="15" t="s">
        <v>330</v>
      </c>
      <c r="L58" s="16" t="s">
        <v>52</v>
      </c>
      <c r="M58" s="17"/>
      <c r="N58" s="16"/>
      <c r="O58" s="16"/>
      <c r="P58" s="18"/>
      <c r="Q58" s="16"/>
      <c r="R58" s="18"/>
      <c r="S58" s="16"/>
      <c r="T58" s="16"/>
      <c r="U58" s="16"/>
      <c r="V58" s="16"/>
      <c r="W58" s="16"/>
      <c r="X58" s="16"/>
      <c r="Y58" s="16"/>
      <c r="Z58" s="16"/>
      <c r="AA58" s="18"/>
      <c r="AB58" s="18"/>
      <c r="AC58" s="18"/>
      <c r="AD58" s="18"/>
      <c r="AE58" s="18"/>
      <c r="AF58" s="19" t="n">
        <f aca="false">IF($B58="","",IF(AND(Consulta!$B$11="Sim",$L58&lt;&gt;"Sim"),-9999,IF($H58=Consulta!$B$5,-9999,IF(AND(Consulta!$B$3&lt;&gt;"Qualquer",ISNUMBER(SEARCH(Consulta!$B$3,$AA58))),-9999,IF(AND(Consulta!$B$10="Sim",$V58&lt;&gt;"Sim"),-9999,IF(OR(Consulta!$B$3="Qualquer",ISNUMBER(SEARCH(Consulta!$B$3,$P58))),3,0)+IF(OR(Consulta!$B$12="Qualquer",ISNUMBER(SEARCH(Consulta!$B$12,$Q58))),2,0)+IF(OR(Consulta!$B$4="Qualquer",ISNUMBER(SEARCH(Consulta!$B$4,$R58))),3,0)+IF(Consulta!$B$6="Qualquer",0,IF($O58=Consulta!$B$6,2,-1))+IF(Consulta!$B$7="Não",0,IF($U58="Sim",3,IF($U58="Não",-6,0)))+IF(Consulta!$B$8="Qualquer",0,IF($C58=Consulta!$B$8,2,-3))+IF(Consulta!$B$9="Qualquer",0,IF($D58=Consulta!$B$9,2,-1))+IF($N58="",0,$N58)-ROW()/100000)))))</f>
        <v>7.99942</v>
      </c>
    </row>
    <row r="59" customFormat="false" ht="23.85" hidden="false" customHeight="false" outlineLevel="0" collapsed="false">
      <c r="A59" s="14" t="n">
        <v>6</v>
      </c>
      <c r="B59" s="15" t="s">
        <v>383</v>
      </c>
      <c r="C59" s="14" t="s">
        <v>88</v>
      </c>
      <c r="D59" s="14" t="s">
        <v>183</v>
      </c>
      <c r="E59" s="15" t="s">
        <v>384</v>
      </c>
      <c r="F59" s="14"/>
      <c r="G59" s="14" t="s">
        <v>385</v>
      </c>
      <c r="H59" s="14" t="s">
        <v>90</v>
      </c>
      <c r="I59" s="15" t="s">
        <v>386</v>
      </c>
      <c r="J59" s="14" t="s">
        <v>102</v>
      </c>
      <c r="K59" s="15" t="s">
        <v>387</v>
      </c>
      <c r="L59" s="16" t="s">
        <v>52</v>
      </c>
      <c r="M59" s="17"/>
      <c r="N59" s="16"/>
      <c r="O59" s="16"/>
      <c r="P59" s="18"/>
      <c r="Q59" s="16"/>
      <c r="R59" s="18"/>
      <c r="S59" s="16"/>
      <c r="T59" s="16"/>
      <c r="U59" s="16"/>
      <c r="V59" s="16"/>
      <c r="W59" s="16"/>
      <c r="X59" s="16"/>
      <c r="Y59" s="16"/>
      <c r="Z59" s="16"/>
      <c r="AA59" s="18"/>
      <c r="AB59" s="18"/>
      <c r="AC59" s="18"/>
      <c r="AD59" s="18"/>
      <c r="AE59" s="18"/>
      <c r="AF59" s="19" t="n">
        <f aca="false">IF($B59="","",IF(AND(Consulta!$B$11="Sim",$L59&lt;&gt;"Sim"),-9999,IF($H59=Consulta!$B$5,-9999,IF(AND(Consulta!$B$3&lt;&gt;"Qualquer",ISNUMBER(SEARCH(Consulta!$B$3,$AA59))),-9999,IF(AND(Consulta!$B$10="Sim",$V59&lt;&gt;"Sim"),-9999,IF(OR(Consulta!$B$3="Qualquer",ISNUMBER(SEARCH(Consulta!$B$3,$P59))),3,0)+IF(OR(Consulta!$B$12="Qualquer",ISNUMBER(SEARCH(Consulta!$B$12,$Q59))),2,0)+IF(OR(Consulta!$B$4="Qualquer",ISNUMBER(SEARCH(Consulta!$B$4,$R59))),3,0)+IF(Consulta!$B$6="Qualquer",0,IF($O59=Consulta!$B$6,2,-1))+IF(Consulta!$B$7="Não",0,IF($U59="Sim",3,IF($U59="Não",-6,0)))+IF(Consulta!$B$8="Qualquer",0,IF($C59=Consulta!$B$8,2,-3))+IF(Consulta!$B$9="Qualquer",0,IF($D59=Consulta!$B$9,2,-1))+IF($N59="",0,$N59)-ROW()/100000)))))</f>
        <v>7.99941</v>
      </c>
    </row>
    <row r="60" customFormat="false" ht="15" hidden="false" customHeight="false" outlineLevel="0" collapsed="false">
      <c r="A60" s="14" t="n">
        <v>6</v>
      </c>
      <c r="B60" s="15" t="s">
        <v>388</v>
      </c>
      <c r="C60" s="14" t="s">
        <v>143</v>
      </c>
      <c r="D60" s="14" t="s">
        <v>183</v>
      </c>
      <c r="E60" s="15" t="s">
        <v>384</v>
      </c>
      <c r="F60" s="14"/>
      <c r="G60" s="14" t="s">
        <v>389</v>
      </c>
      <c r="H60" s="14"/>
      <c r="I60" s="15"/>
      <c r="J60" s="14" t="s">
        <v>114</v>
      </c>
      <c r="K60" s="15" t="s">
        <v>387</v>
      </c>
      <c r="L60" s="16" t="s">
        <v>52</v>
      </c>
      <c r="M60" s="17"/>
      <c r="N60" s="16"/>
      <c r="O60" s="16"/>
      <c r="P60" s="18"/>
      <c r="Q60" s="16"/>
      <c r="R60" s="18"/>
      <c r="S60" s="16"/>
      <c r="T60" s="16"/>
      <c r="U60" s="16"/>
      <c r="V60" s="16"/>
      <c r="W60" s="16"/>
      <c r="X60" s="16"/>
      <c r="Y60" s="16"/>
      <c r="Z60" s="16"/>
      <c r="AA60" s="18"/>
      <c r="AB60" s="18"/>
      <c r="AC60" s="18"/>
      <c r="AD60" s="18"/>
      <c r="AE60" s="18"/>
      <c r="AF60" s="19" t="n">
        <f aca="false">IF($B60="","",IF(AND(Consulta!$B$11="Sim",$L60&lt;&gt;"Sim"),-9999,IF($H60=Consulta!$B$5,-9999,IF(AND(Consulta!$B$3&lt;&gt;"Qualquer",ISNUMBER(SEARCH(Consulta!$B$3,$AA60))),-9999,IF(AND(Consulta!$B$10="Sim",$V60&lt;&gt;"Sim"),-9999,IF(OR(Consulta!$B$3="Qualquer",ISNUMBER(SEARCH(Consulta!$B$3,$P60))),3,0)+IF(OR(Consulta!$B$12="Qualquer",ISNUMBER(SEARCH(Consulta!$B$12,$Q60))),2,0)+IF(OR(Consulta!$B$4="Qualquer",ISNUMBER(SEARCH(Consulta!$B$4,$R60))),3,0)+IF(Consulta!$B$6="Qualquer",0,IF($O60=Consulta!$B$6,2,-1))+IF(Consulta!$B$7="Não",0,IF($U60="Sim",3,IF($U60="Não",-6,0)))+IF(Consulta!$B$8="Qualquer",0,IF($C60=Consulta!$B$8,2,-3))+IF(Consulta!$B$9="Qualquer",0,IF($D60=Consulta!$B$9,2,-1))+IF($N60="",0,$N60)-ROW()/100000)))))</f>
        <v>7.9994</v>
      </c>
    </row>
    <row r="61" customFormat="false" ht="23.85" hidden="false" customHeight="false" outlineLevel="0" collapsed="false">
      <c r="A61" s="14" t="n">
        <v>6</v>
      </c>
      <c r="B61" s="15" t="s">
        <v>390</v>
      </c>
      <c r="C61" s="14" t="s">
        <v>88</v>
      </c>
      <c r="D61" s="14" t="s">
        <v>183</v>
      </c>
      <c r="E61" s="15" t="s">
        <v>391</v>
      </c>
      <c r="F61" s="14"/>
      <c r="G61" s="14" t="s">
        <v>392</v>
      </c>
      <c r="H61" s="14" t="s">
        <v>153</v>
      </c>
      <c r="I61" s="15" t="s">
        <v>393</v>
      </c>
      <c r="J61" s="14" t="s">
        <v>91</v>
      </c>
      <c r="K61" s="15" t="s">
        <v>387</v>
      </c>
      <c r="L61" s="16" t="s">
        <v>52</v>
      </c>
      <c r="M61" s="17"/>
      <c r="N61" s="16"/>
      <c r="O61" s="16"/>
      <c r="P61" s="18"/>
      <c r="Q61" s="16"/>
      <c r="R61" s="18"/>
      <c r="S61" s="16"/>
      <c r="T61" s="16"/>
      <c r="U61" s="16"/>
      <c r="V61" s="16"/>
      <c r="W61" s="16"/>
      <c r="X61" s="16"/>
      <c r="Y61" s="16"/>
      <c r="Z61" s="16"/>
      <c r="AA61" s="18"/>
      <c r="AB61" s="18"/>
      <c r="AC61" s="18"/>
      <c r="AD61" s="18"/>
      <c r="AE61" s="18"/>
      <c r="AF61" s="19" t="n">
        <f aca="false">IF($B61="","",IF(AND(Consulta!$B$11="Sim",$L61&lt;&gt;"Sim"),-9999,IF($H61=Consulta!$B$5,-9999,IF(AND(Consulta!$B$3&lt;&gt;"Qualquer",ISNUMBER(SEARCH(Consulta!$B$3,$AA61))),-9999,IF(AND(Consulta!$B$10="Sim",$V61&lt;&gt;"Sim"),-9999,IF(OR(Consulta!$B$3="Qualquer",ISNUMBER(SEARCH(Consulta!$B$3,$P61))),3,0)+IF(OR(Consulta!$B$12="Qualquer",ISNUMBER(SEARCH(Consulta!$B$12,$Q61))),2,0)+IF(OR(Consulta!$B$4="Qualquer",ISNUMBER(SEARCH(Consulta!$B$4,$R61))),3,0)+IF(Consulta!$B$6="Qualquer",0,IF($O61=Consulta!$B$6,2,-1))+IF(Consulta!$B$7="Não",0,IF($U61="Sim",3,IF($U61="Não",-6,0)))+IF(Consulta!$B$8="Qualquer",0,IF($C61=Consulta!$B$8,2,-3))+IF(Consulta!$B$9="Qualquer",0,IF($D61=Consulta!$B$9,2,-1))+IF($N61="",0,$N61)-ROW()/100000)))))</f>
        <v>7.99939</v>
      </c>
    </row>
    <row r="62" customFormat="false" ht="15" hidden="false" customHeight="false" outlineLevel="0" collapsed="false">
      <c r="A62" s="14" t="n">
        <v>6</v>
      </c>
      <c r="B62" s="15" t="s">
        <v>394</v>
      </c>
      <c r="C62" s="14" t="s">
        <v>169</v>
      </c>
      <c r="D62" s="14" t="s">
        <v>183</v>
      </c>
      <c r="E62" s="15" t="s">
        <v>395</v>
      </c>
      <c r="F62" s="14"/>
      <c r="G62" s="14"/>
      <c r="H62" s="14" t="s">
        <v>157</v>
      </c>
      <c r="I62" s="15"/>
      <c r="J62" s="14" t="s">
        <v>91</v>
      </c>
      <c r="K62" s="15" t="s">
        <v>387</v>
      </c>
      <c r="L62" s="16" t="s">
        <v>52</v>
      </c>
      <c r="M62" s="17"/>
      <c r="N62" s="16"/>
      <c r="O62" s="16"/>
      <c r="P62" s="18"/>
      <c r="Q62" s="16"/>
      <c r="R62" s="18"/>
      <c r="S62" s="16"/>
      <c r="T62" s="16"/>
      <c r="U62" s="16"/>
      <c r="V62" s="16"/>
      <c r="W62" s="16"/>
      <c r="X62" s="16"/>
      <c r="Y62" s="16"/>
      <c r="Z62" s="16"/>
      <c r="AA62" s="18"/>
      <c r="AB62" s="18"/>
      <c r="AC62" s="18"/>
      <c r="AD62" s="18"/>
      <c r="AE62" s="18"/>
      <c r="AF62" s="19" t="n">
        <f aca="false">IF($B62="","",IF(AND(Consulta!$B$11="Sim",$L62&lt;&gt;"Sim"),-9999,IF($H62=Consulta!$B$5,-9999,IF(AND(Consulta!$B$3&lt;&gt;"Qualquer",ISNUMBER(SEARCH(Consulta!$B$3,$AA62))),-9999,IF(AND(Consulta!$B$10="Sim",$V62&lt;&gt;"Sim"),-9999,IF(OR(Consulta!$B$3="Qualquer",ISNUMBER(SEARCH(Consulta!$B$3,$P62))),3,0)+IF(OR(Consulta!$B$12="Qualquer",ISNUMBER(SEARCH(Consulta!$B$12,$Q62))),2,0)+IF(OR(Consulta!$B$4="Qualquer",ISNUMBER(SEARCH(Consulta!$B$4,$R62))),3,0)+IF(Consulta!$B$6="Qualquer",0,IF($O62=Consulta!$B$6,2,-1))+IF(Consulta!$B$7="Não",0,IF($U62="Sim",3,IF($U62="Não",-6,0)))+IF(Consulta!$B$8="Qualquer",0,IF($C62=Consulta!$B$8,2,-3))+IF(Consulta!$B$9="Qualquer",0,IF($D62=Consulta!$B$9,2,-1))+IF($N62="",0,$N62)-ROW()/100000)))))</f>
        <v>7.99938</v>
      </c>
    </row>
    <row r="63" customFormat="false" ht="15" hidden="false" customHeight="false" outlineLevel="0" collapsed="false">
      <c r="A63" s="14" t="n">
        <v>6</v>
      </c>
      <c r="B63" s="15" t="s">
        <v>396</v>
      </c>
      <c r="C63" s="14" t="s">
        <v>111</v>
      </c>
      <c r="D63" s="14" t="s">
        <v>124</v>
      </c>
      <c r="E63" s="15" t="s">
        <v>397</v>
      </c>
      <c r="F63" s="14"/>
      <c r="G63" s="14"/>
      <c r="H63" s="14"/>
      <c r="I63" s="15" t="s">
        <v>398</v>
      </c>
      <c r="J63" s="14" t="s">
        <v>91</v>
      </c>
      <c r="K63" s="15" t="s">
        <v>379</v>
      </c>
      <c r="L63" s="16" t="s">
        <v>52</v>
      </c>
      <c r="M63" s="17"/>
      <c r="N63" s="16"/>
      <c r="O63" s="16"/>
      <c r="P63" s="18"/>
      <c r="Q63" s="16"/>
      <c r="R63" s="18"/>
      <c r="S63" s="16"/>
      <c r="T63" s="16"/>
      <c r="U63" s="16"/>
      <c r="V63" s="16"/>
      <c r="W63" s="16"/>
      <c r="X63" s="16"/>
      <c r="Y63" s="16"/>
      <c r="Z63" s="16"/>
      <c r="AA63" s="18"/>
      <c r="AB63" s="18"/>
      <c r="AC63" s="18"/>
      <c r="AD63" s="18"/>
      <c r="AE63" s="18"/>
      <c r="AF63" s="19" t="n">
        <f aca="false">IF($B63="","",IF(AND(Consulta!$B$11="Sim",$L63&lt;&gt;"Sim"),-9999,IF($H63=Consulta!$B$5,-9999,IF(AND(Consulta!$B$3&lt;&gt;"Qualquer",ISNUMBER(SEARCH(Consulta!$B$3,$AA63))),-9999,IF(AND(Consulta!$B$10="Sim",$V63&lt;&gt;"Sim"),-9999,IF(OR(Consulta!$B$3="Qualquer",ISNUMBER(SEARCH(Consulta!$B$3,$P63))),3,0)+IF(OR(Consulta!$B$12="Qualquer",ISNUMBER(SEARCH(Consulta!$B$12,$Q63))),2,0)+IF(OR(Consulta!$B$4="Qualquer",ISNUMBER(SEARCH(Consulta!$B$4,$R63))),3,0)+IF(Consulta!$B$6="Qualquer",0,IF($O63=Consulta!$B$6,2,-1))+IF(Consulta!$B$7="Não",0,IF($U63="Sim",3,IF($U63="Não",-6,0)))+IF(Consulta!$B$8="Qualquer",0,IF($C63=Consulta!$B$8,2,-3))+IF(Consulta!$B$9="Qualquer",0,IF($D63=Consulta!$B$9,2,-1))+IF($N63="",0,$N63)-ROW()/100000)))))</f>
        <v>7.99937</v>
      </c>
    </row>
    <row r="64" customFormat="false" ht="15" hidden="false" customHeight="false" outlineLevel="0" collapsed="false">
      <c r="A64" s="14" t="n">
        <v>6</v>
      </c>
      <c r="B64" s="15" t="s">
        <v>399</v>
      </c>
      <c r="C64" s="14" t="s">
        <v>167</v>
      </c>
      <c r="D64" s="14" t="s">
        <v>124</v>
      </c>
      <c r="E64" s="15" t="s">
        <v>400</v>
      </c>
      <c r="F64" s="14"/>
      <c r="G64" s="14"/>
      <c r="H64" s="14" t="s">
        <v>157</v>
      </c>
      <c r="I64" s="15"/>
      <c r="J64" s="14" t="s">
        <v>91</v>
      </c>
      <c r="K64" s="15" t="s">
        <v>401</v>
      </c>
      <c r="L64" s="16" t="s">
        <v>52</v>
      </c>
      <c r="M64" s="17"/>
      <c r="N64" s="16"/>
      <c r="O64" s="16"/>
      <c r="P64" s="18"/>
      <c r="Q64" s="16"/>
      <c r="R64" s="18"/>
      <c r="S64" s="16"/>
      <c r="T64" s="16"/>
      <c r="U64" s="16"/>
      <c r="V64" s="16"/>
      <c r="W64" s="16"/>
      <c r="X64" s="16"/>
      <c r="Y64" s="16"/>
      <c r="Z64" s="16"/>
      <c r="AA64" s="18"/>
      <c r="AB64" s="18"/>
      <c r="AC64" s="18"/>
      <c r="AD64" s="18"/>
      <c r="AE64" s="18"/>
      <c r="AF64" s="19" t="n">
        <f aca="false">IF($B64="","",IF(AND(Consulta!$B$11="Sim",$L64&lt;&gt;"Sim"),-9999,IF($H64=Consulta!$B$5,-9999,IF(AND(Consulta!$B$3&lt;&gt;"Qualquer",ISNUMBER(SEARCH(Consulta!$B$3,$AA64))),-9999,IF(AND(Consulta!$B$10="Sim",$V64&lt;&gt;"Sim"),-9999,IF(OR(Consulta!$B$3="Qualquer",ISNUMBER(SEARCH(Consulta!$B$3,$P64))),3,0)+IF(OR(Consulta!$B$12="Qualquer",ISNUMBER(SEARCH(Consulta!$B$12,$Q64))),2,0)+IF(OR(Consulta!$B$4="Qualquer",ISNUMBER(SEARCH(Consulta!$B$4,$R64))),3,0)+IF(Consulta!$B$6="Qualquer",0,IF($O64=Consulta!$B$6,2,-1))+IF(Consulta!$B$7="Não",0,IF($U64="Sim",3,IF($U64="Não",-6,0)))+IF(Consulta!$B$8="Qualquer",0,IF($C64=Consulta!$B$8,2,-3))+IF(Consulta!$B$9="Qualquer",0,IF($D64=Consulta!$B$9,2,-1))+IF($N64="",0,$N64)-ROW()/100000)))))</f>
        <v>7.99936</v>
      </c>
    </row>
    <row r="65" customFormat="false" ht="15" hidden="false" customHeight="false" outlineLevel="0" collapsed="false">
      <c r="A65" s="14" t="n">
        <v>7</v>
      </c>
      <c r="B65" s="15" t="s">
        <v>402</v>
      </c>
      <c r="C65" s="14" t="s">
        <v>88</v>
      </c>
      <c r="D65" s="14" t="s">
        <v>174</v>
      </c>
      <c r="E65" s="15" t="s">
        <v>403</v>
      </c>
      <c r="F65" s="14"/>
      <c r="G65" s="14" t="s">
        <v>404</v>
      </c>
      <c r="H65" s="14"/>
      <c r="I65" s="15"/>
      <c r="J65" s="14" t="s">
        <v>102</v>
      </c>
      <c r="K65" s="15" t="s">
        <v>325</v>
      </c>
      <c r="L65" s="16" t="s">
        <v>52</v>
      </c>
      <c r="M65" s="17"/>
      <c r="N65" s="16"/>
      <c r="O65" s="16"/>
      <c r="P65" s="18"/>
      <c r="Q65" s="16"/>
      <c r="R65" s="18"/>
      <c r="S65" s="16"/>
      <c r="T65" s="16"/>
      <c r="U65" s="16"/>
      <c r="V65" s="16"/>
      <c r="W65" s="16"/>
      <c r="X65" s="16"/>
      <c r="Y65" s="16"/>
      <c r="Z65" s="16"/>
      <c r="AA65" s="18"/>
      <c r="AB65" s="18"/>
      <c r="AC65" s="18"/>
      <c r="AD65" s="18"/>
      <c r="AE65" s="18"/>
      <c r="AF65" s="19" t="n">
        <f aca="false">IF($B65="","",IF(AND(Consulta!$B$11="Sim",$L65&lt;&gt;"Sim"),-9999,IF($H65=Consulta!$B$5,-9999,IF(AND(Consulta!$B$3&lt;&gt;"Qualquer",ISNUMBER(SEARCH(Consulta!$B$3,$AA65))),-9999,IF(AND(Consulta!$B$10="Sim",$V65&lt;&gt;"Sim"),-9999,IF(OR(Consulta!$B$3="Qualquer",ISNUMBER(SEARCH(Consulta!$B$3,$P65))),3,0)+IF(OR(Consulta!$B$12="Qualquer",ISNUMBER(SEARCH(Consulta!$B$12,$Q65))),2,0)+IF(OR(Consulta!$B$4="Qualquer",ISNUMBER(SEARCH(Consulta!$B$4,$R65))),3,0)+IF(Consulta!$B$6="Qualquer",0,IF($O65=Consulta!$B$6,2,-1))+IF(Consulta!$B$7="Não",0,IF($U65="Sim",3,IF($U65="Não",-6,0)))+IF(Consulta!$B$8="Qualquer",0,IF($C65=Consulta!$B$8,2,-3))+IF(Consulta!$B$9="Qualquer",0,IF($D65=Consulta!$B$9,2,-1))+IF($N65="",0,$N65)-ROW()/100000)))))</f>
        <v>7.99935</v>
      </c>
    </row>
    <row r="66" customFormat="false" ht="15" hidden="false" customHeight="false" outlineLevel="0" collapsed="false">
      <c r="A66" s="14" t="n">
        <v>7</v>
      </c>
      <c r="B66" s="15" t="s">
        <v>405</v>
      </c>
      <c r="C66" s="14" t="s">
        <v>111</v>
      </c>
      <c r="D66" s="14" t="s">
        <v>174</v>
      </c>
      <c r="E66" s="15" t="s">
        <v>406</v>
      </c>
      <c r="F66" s="14"/>
      <c r="G66" s="14"/>
      <c r="H66" s="14" t="s">
        <v>157</v>
      </c>
      <c r="I66" s="15" t="s">
        <v>318</v>
      </c>
      <c r="J66" s="14" t="s">
        <v>91</v>
      </c>
      <c r="K66" s="15" t="s">
        <v>321</v>
      </c>
      <c r="L66" s="16" t="s">
        <v>52</v>
      </c>
      <c r="M66" s="17"/>
      <c r="N66" s="16"/>
      <c r="O66" s="16"/>
      <c r="P66" s="18"/>
      <c r="Q66" s="16"/>
      <c r="R66" s="18"/>
      <c r="S66" s="16"/>
      <c r="T66" s="16"/>
      <c r="U66" s="16"/>
      <c r="V66" s="16"/>
      <c r="W66" s="16"/>
      <c r="X66" s="16"/>
      <c r="Y66" s="16"/>
      <c r="Z66" s="16"/>
      <c r="AA66" s="18"/>
      <c r="AB66" s="18"/>
      <c r="AC66" s="18"/>
      <c r="AD66" s="18"/>
      <c r="AE66" s="18"/>
      <c r="AF66" s="19" t="n">
        <f aca="false">IF($B66="","",IF(AND(Consulta!$B$11="Sim",$L66&lt;&gt;"Sim"),-9999,IF($H66=Consulta!$B$5,-9999,IF(AND(Consulta!$B$3&lt;&gt;"Qualquer",ISNUMBER(SEARCH(Consulta!$B$3,$AA66))),-9999,IF(AND(Consulta!$B$10="Sim",$V66&lt;&gt;"Sim"),-9999,IF(OR(Consulta!$B$3="Qualquer",ISNUMBER(SEARCH(Consulta!$B$3,$P66))),3,0)+IF(OR(Consulta!$B$12="Qualquer",ISNUMBER(SEARCH(Consulta!$B$12,$Q66))),2,0)+IF(OR(Consulta!$B$4="Qualquer",ISNUMBER(SEARCH(Consulta!$B$4,$R66))),3,0)+IF(Consulta!$B$6="Qualquer",0,IF($O66=Consulta!$B$6,2,-1))+IF(Consulta!$B$7="Não",0,IF($U66="Sim",3,IF($U66="Não",-6,0)))+IF(Consulta!$B$8="Qualquer",0,IF($C66=Consulta!$B$8,2,-3))+IF(Consulta!$B$9="Qualquer",0,IF($D66=Consulta!$B$9,2,-1))+IF($N66="",0,$N66)-ROW()/100000)))))</f>
        <v>7.99934</v>
      </c>
    </row>
    <row r="67" customFormat="false" ht="15" hidden="false" customHeight="false" outlineLevel="0" collapsed="false">
      <c r="A67" s="14" t="n">
        <v>7</v>
      </c>
      <c r="B67" s="15" t="s">
        <v>407</v>
      </c>
      <c r="C67" s="14" t="s">
        <v>111</v>
      </c>
      <c r="D67" s="14" t="s">
        <v>174</v>
      </c>
      <c r="E67" s="15" t="s">
        <v>408</v>
      </c>
      <c r="F67" s="14"/>
      <c r="G67" s="14"/>
      <c r="H67" s="14" t="s">
        <v>157</v>
      </c>
      <c r="I67" s="15" t="s">
        <v>318</v>
      </c>
      <c r="J67" s="14" t="s">
        <v>91</v>
      </c>
      <c r="K67" s="15" t="s">
        <v>325</v>
      </c>
      <c r="L67" s="16" t="s">
        <v>52</v>
      </c>
      <c r="M67" s="17"/>
      <c r="N67" s="16"/>
      <c r="O67" s="16"/>
      <c r="P67" s="18"/>
      <c r="Q67" s="16"/>
      <c r="R67" s="18"/>
      <c r="S67" s="16"/>
      <c r="T67" s="16"/>
      <c r="U67" s="16"/>
      <c r="V67" s="16"/>
      <c r="W67" s="16"/>
      <c r="X67" s="16"/>
      <c r="Y67" s="16"/>
      <c r="Z67" s="16"/>
      <c r="AA67" s="18"/>
      <c r="AB67" s="18"/>
      <c r="AC67" s="18"/>
      <c r="AD67" s="18"/>
      <c r="AE67" s="18"/>
      <c r="AF67" s="19" t="n">
        <f aca="false">IF($B67="","",IF(AND(Consulta!$B$11="Sim",$L67&lt;&gt;"Sim"),-9999,IF($H67=Consulta!$B$5,-9999,IF(AND(Consulta!$B$3&lt;&gt;"Qualquer",ISNUMBER(SEARCH(Consulta!$B$3,$AA67))),-9999,IF(AND(Consulta!$B$10="Sim",$V67&lt;&gt;"Sim"),-9999,IF(OR(Consulta!$B$3="Qualquer",ISNUMBER(SEARCH(Consulta!$B$3,$P67))),3,0)+IF(OR(Consulta!$B$12="Qualquer",ISNUMBER(SEARCH(Consulta!$B$12,$Q67))),2,0)+IF(OR(Consulta!$B$4="Qualquer",ISNUMBER(SEARCH(Consulta!$B$4,$R67))),3,0)+IF(Consulta!$B$6="Qualquer",0,IF($O67=Consulta!$B$6,2,-1))+IF(Consulta!$B$7="Não",0,IF($U67="Sim",3,IF($U67="Não",-6,0)))+IF(Consulta!$B$8="Qualquer",0,IF($C67=Consulta!$B$8,2,-3))+IF(Consulta!$B$9="Qualquer",0,IF($D67=Consulta!$B$9,2,-1))+IF($N67="",0,$N67)-ROW()/100000)))))</f>
        <v>7.99933</v>
      </c>
    </row>
    <row r="68" customFormat="false" ht="15" hidden="false" customHeight="false" outlineLevel="0" collapsed="false">
      <c r="A68" s="14" t="n">
        <v>7</v>
      </c>
      <c r="B68" s="15" t="s">
        <v>409</v>
      </c>
      <c r="C68" s="14" t="s">
        <v>167</v>
      </c>
      <c r="D68" s="14" t="s">
        <v>174</v>
      </c>
      <c r="E68" s="15" t="s">
        <v>410</v>
      </c>
      <c r="F68" s="14"/>
      <c r="G68" s="14"/>
      <c r="H68" s="14" t="s">
        <v>157</v>
      </c>
      <c r="I68" s="15"/>
      <c r="J68" s="14" t="s">
        <v>91</v>
      </c>
      <c r="K68" s="15" t="s">
        <v>325</v>
      </c>
      <c r="L68" s="16" t="s">
        <v>52</v>
      </c>
      <c r="M68" s="17"/>
      <c r="N68" s="16"/>
      <c r="O68" s="16"/>
      <c r="P68" s="18"/>
      <c r="Q68" s="16"/>
      <c r="R68" s="18"/>
      <c r="S68" s="16"/>
      <c r="T68" s="16"/>
      <c r="U68" s="16"/>
      <c r="V68" s="16"/>
      <c r="W68" s="16"/>
      <c r="X68" s="16"/>
      <c r="Y68" s="16"/>
      <c r="Z68" s="16"/>
      <c r="AA68" s="18"/>
      <c r="AB68" s="18"/>
      <c r="AC68" s="18"/>
      <c r="AD68" s="18"/>
      <c r="AE68" s="18"/>
      <c r="AF68" s="19" t="n">
        <f aca="false">IF($B68="","",IF(AND(Consulta!$B$11="Sim",$L68&lt;&gt;"Sim"),-9999,IF($H68=Consulta!$B$5,-9999,IF(AND(Consulta!$B$3&lt;&gt;"Qualquer",ISNUMBER(SEARCH(Consulta!$B$3,$AA68))),-9999,IF(AND(Consulta!$B$10="Sim",$V68&lt;&gt;"Sim"),-9999,IF(OR(Consulta!$B$3="Qualquer",ISNUMBER(SEARCH(Consulta!$B$3,$P68))),3,0)+IF(OR(Consulta!$B$12="Qualquer",ISNUMBER(SEARCH(Consulta!$B$12,$Q68))),2,0)+IF(OR(Consulta!$B$4="Qualquer",ISNUMBER(SEARCH(Consulta!$B$4,$R68))),3,0)+IF(Consulta!$B$6="Qualquer",0,IF($O68=Consulta!$B$6,2,-1))+IF(Consulta!$B$7="Não",0,IF($U68="Sim",3,IF($U68="Não",-6,0)))+IF(Consulta!$B$8="Qualquer",0,IF($C68=Consulta!$B$8,2,-3))+IF(Consulta!$B$9="Qualquer",0,IF($D68=Consulta!$B$9,2,-1))+IF($N68="",0,$N68)-ROW()/100000)))))</f>
        <v>7.99932</v>
      </c>
    </row>
    <row r="69" customFormat="false" ht="15" hidden="false" customHeight="false" outlineLevel="0" collapsed="false">
      <c r="A69" s="14" t="n">
        <v>7</v>
      </c>
      <c r="B69" s="15" t="s">
        <v>411</v>
      </c>
      <c r="C69" s="14" t="s">
        <v>88</v>
      </c>
      <c r="D69" s="14" t="s">
        <v>174</v>
      </c>
      <c r="E69" s="15" t="s">
        <v>412</v>
      </c>
      <c r="F69" s="14"/>
      <c r="G69" s="14"/>
      <c r="H69" s="14" t="s">
        <v>90</v>
      </c>
      <c r="I69" s="15"/>
      <c r="J69" s="14" t="s">
        <v>91</v>
      </c>
      <c r="K69" s="15" t="s">
        <v>325</v>
      </c>
      <c r="L69" s="16" t="s">
        <v>52</v>
      </c>
      <c r="M69" s="17"/>
      <c r="N69" s="16"/>
      <c r="O69" s="16"/>
      <c r="P69" s="18"/>
      <c r="Q69" s="16"/>
      <c r="R69" s="18"/>
      <c r="S69" s="16"/>
      <c r="T69" s="16"/>
      <c r="U69" s="16"/>
      <c r="V69" s="16"/>
      <c r="W69" s="16"/>
      <c r="X69" s="16"/>
      <c r="Y69" s="16"/>
      <c r="Z69" s="16"/>
      <c r="AA69" s="18"/>
      <c r="AB69" s="18"/>
      <c r="AC69" s="18"/>
      <c r="AD69" s="18"/>
      <c r="AE69" s="18"/>
      <c r="AF69" s="19" t="n">
        <f aca="false">IF($B69="","",IF(AND(Consulta!$B$11="Sim",$L69&lt;&gt;"Sim"),-9999,IF($H69=Consulta!$B$5,-9999,IF(AND(Consulta!$B$3&lt;&gt;"Qualquer",ISNUMBER(SEARCH(Consulta!$B$3,$AA69))),-9999,IF(AND(Consulta!$B$10="Sim",$V69&lt;&gt;"Sim"),-9999,IF(OR(Consulta!$B$3="Qualquer",ISNUMBER(SEARCH(Consulta!$B$3,$P69))),3,0)+IF(OR(Consulta!$B$12="Qualquer",ISNUMBER(SEARCH(Consulta!$B$12,$Q69))),2,0)+IF(OR(Consulta!$B$4="Qualquer",ISNUMBER(SEARCH(Consulta!$B$4,$R69))),3,0)+IF(Consulta!$B$6="Qualquer",0,IF($O69=Consulta!$B$6,2,-1))+IF(Consulta!$B$7="Não",0,IF($U69="Sim",3,IF($U69="Não",-6,0)))+IF(Consulta!$B$8="Qualquer",0,IF($C69=Consulta!$B$8,2,-3))+IF(Consulta!$B$9="Qualquer",0,IF($D69=Consulta!$B$9,2,-1))+IF($N69="",0,$N69)-ROW()/100000)))))</f>
        <v>7.99931</v>
      </c>
    </row>
    <row r="70" customFormat="false" ht="15" hidden="false" customHeight="false" outlineLevel="0" collapsed="false">
      <c r="A70" s="14" t="n">
        <v>7</v>
      </c>
      <c r="B70" s="15" t="s">
        <v>413</v>
      </c>
      <c r="C70" s="14" t="s">
        <v>169</v>
      </c>
      <c r="D70" s="14" t="s">
        <v>174</v>
      </c>
      <c r="E70" s="15" t="s">
        <v>414</v>
      </c>
      <c r="F70" s="14"/>
      <c r="G70" s="14"/>
      <c r="H70" s="14"/>
      <c r="I70" s="15" t="s">
        <v>415</v>
      </c>
      <c r="J70" s="14" t="s">
        <v>114</v>
      </c>
      <c r="K70" s="15" t="s">
        <v>325</v>
      </c>
      <c r="L70" s="16" t="s">
        <v>52</v>
      </c>
      <c r="M70" s="17"/>
      <c r="N70" s="16"/>
      <c r="O70" s="16"/>
      <c r="P70" s="18"/>
      <c r="Q70" s="16"/>
      <c r="R70" s="18"/>
      <c r="S70" s="16"/>
      <c r="T70" s="16"/>
      <c r="U70" s="16"/>
      <c r="V70" s="16"/>
      <c r="W70" s="16"/>
      <c r="X70" s="16"/>
      <c r="Y70" s="16"/>
      <c r="Z70" s="16"/>
      <c r="AA70" s="18"/>
      <c r="AB70" s="18"/>
      <c r="AC70" s="18"/>
      <c r="AD70" s="18"/>
      <c r="AE70" s="18"/>
      <c r="AF70" s="19" t="n">
        <f aca="false">IF($B70="","",IF(AND(Consulta!$B$11="Sim",$L70&lt;&gt;"Sim"),-9999,IF($H70=Consulta!$B$5,-9999,IF(AND(Consulta!$B$3&lt;&gt;"Qualquer",ISNUMBER(SEARCH(Consulta!$B$3,$AA70))),-9999,IF(AND(Consulta!$B$10="Sim",$V70&lt;&gt;"Sim"),-9999,IF(OR(Consulta!$B$3="Qualquer",ISNUMBER(SEARCH(Consulta!$B$3,$P70))),3,0)+IF(OR(Consulta!$B$12="Qualquer",ISNUMBER(SEARCH(Consulta!$B$12,$Q70))),2,0)+IF(OR(Consulta!$B$4="Qualquer",ISNUMBER(SEARCH(Consulta!$B$4,$R70))),3,0)+IF(Consulta!$B$6="Qualquer",0,IF($O70=Consulta!$B$6,2,-1))+IF(Consulta!$B$7="Não",0,IF($U70="Sim",3,IF($U70="Não",-6,0)))+IF(Consulta!$B$8="Qualquer",0,IF($C70=Consulta!$B$8,2,-3))+IF(Consulta!$B$9="Qualquer",0,IF($D70=Consulta!$B$9,2,-1))+IF($N70="",0,$N70)-ROW()/100000)))))</f>
        <v>7.9993</v>
      </c>
    </row>
    <row r="71" customFormat="false" ht="15" hidden="false" customHeight="false" outlineLevel="0" collapsed="false">
      <c r="A71" s="14" t="n">
        <v>7</v>
      </c>
      <c r="B71" s="15" t="s">
        <v>416</v>
      </c>
      <c r="C71" s="14" t="s">
        <v>88</v>
      </c>
      <c r="D71" s="14" t="s">
        <v>174</v>
      </c>
      <c r="E71" s="15" t="s">
        <v>417</v>
      </c>
      <c r="F71" s="14"/>
      <c r="G71" s="14" t="s">
        <v>418</v>
      </c>
      <c r="H71" s="14"/>
      <c r="I71" s="15"/>
      <c r="J71" s="14" t="s">
        <v>102</v>
      </c>
      <c r="K71" s="15" t="s">
        <v>325</v>
      </c>
      <c r="L71" s="16" t="s">
        <v>52</v>
      </c>
      <c r="M71" s="17"/>
      <c r="N71" s="16"/>
      <c r="O71" s="16"/>
      <c r="P71" s="18"/>
      <c r="Q71" s="16"/>
      <c r="R71" s="18"/>
      <c r="S71" s="16"/>
      <c r="T71" s="16"/>
      <c r="U71" s="16"/>
      <c r="V71" s="16"/>
      <c r="W71" s="16"/>
      <c r="X71" s="16"/>
      <c r="Y71" s="16"/>
      <c r="Z71" s="16"/>
      <c r="AA71" s="18"/>
      <c r="AB71" s="18"/>
      <c r="AC71" s="18"/>
      <c r="AD71" s="18"/>
      <c r="AE71" s="18"/>
      <c r="AF71" s="19" t="n">
        <f aca="false">IF($B71="","",IF(AND(Consulta!$B$11="Sim",$L71&lt;&gt;"Sim"),-9999,IF($H71=Consulta!$B$5,-9999,IF(AND(Consulta!$B$3&lt;&gt;"Qualquer",ISNUMBER(SEARCH(Consulta!$B$3,$AA71))),-9999,IF(AND(Consulta!$B$10="Sim",$V71&lt;&gt;"Sim"),-9999,IF(OR(Consulta!$B$3="Qualquer",ISNUMBER(SEARCH(Consulta!$B$3,$P71))),3,0)+IF(OR(Consulta!$B$12="Qualquer",ISNUMBER(SEARCH(Consulta!$B$12,$Q71))),2,0)+IF(OR(Consulta!$B$4="Qualquer",ISNUMBER(SEARCH(Consulta!$B$4,$R71))),3,0)+IF(Consulta!$B$6="Qualquer",0,IF($O71=Consulta!$B$6,2,-1))+IF(Consulta!$B$7="Não",0,IF($U71="Sim",3,IF($U71="Não",-6,0)))+IF(Consulta!$B$8="Qualquer",0,IF($C71=Consulta!$B$8,2,-3))+IF(Consulta!$B$9="Qualquer",0,IF($D71=Consulta!$B$9,2,-1))+IF($N71="",0,$N71)-ROW()/100000)))))</f>
        <v>7.99929</v>
      </c>
    </row>
    <row r="72" customFormat="false" ht="15" hidden="false" customHeight="false" outlineLevel="0" collapsed="false">
      <c r="A72" s="14" t="n">
        <v>7</v>
      </c>
      <c r="B72" s="15" t="s">
        <v>419</v>
      </c>
      <c r="C72" s="14" t="s">
        <v>143</v>
      </c>
      <c r="D72" s="14" t="s">
        <v>174</v>
      </c>
      <c r="E72" s="15" t="s">
        <v>417</v>
      </c>
      <c r="F72" s="14"/>
      <c r="G72" s="14" t="s">
        <v>420</v>
      </c>
      <c r="H72" s="14"/>
      <c r="I72" s="15"/>
      <c r="J72" s="14" t="s">
        <v>114</v>
      </c>
      <c r="K72" s="15" t="s">
        <v>325</v>
      </c>
      <c r="L72" s="16" t="s">
        <v>52</v>
      </c>
      <c r="M72" s="17"/>
      <c r="N72" s="16"/>
      <c r="O72" s="16"/>
      <c r="P72" s="18"/>
      <c r="Q72" s="16"/>
      <c r="R72" s="18"/>
      <c r="S72" s="16"/>
      <c r="T72" s="16"/>
      <c r="U72" s="16"/>
      <c r="V72" s="16"/>
      <c r="W72" s="16"/>
      <c r="X72" s="16"/>
      <c r="Y72" s="16"/>
      <c r="Z72" s="16"/>
      <c r="AA72" s="18"/>
      <c r="AB72" s="18"/>
      <c r="AC72" s="18"/>
      <c r="AD72" s="18"/>
      <c r="AE72" s="18"/>
      <c r="AF72" s="19" t="n">
        <f aca="false">IF($B72="","",IF(AND(Consulta!$B$11="Sim",$L72&lt;&gt;"Sim"),-9999,IF($H72=Consulta!$B$5,-9999,IF(AND(Consulta!$B$3&lt;&gt;"Qualquer",ISNUMBER(SEARCH(Consulta!$B$3,$AA72))),-9999,IF(AND(Consulta!$B$10="Sim",$V72&lt;&gt;"Sim"),-9999,IF(OR(Consulta!$B$3="Qualquer",ISNUMBER(SEARCH(Consulta!$B$3,$P72))),3,0)+IF(OR(Consulta!$B$12="Qualquer",ISNUMBER(SEARCH(Consulta!$B$12,$Q72))),2,0)+IF(OR(Consulta!$B$4="Qualquer",ISNUMBER(SEARCH(Consulta!$B$4,$R72))),3,0)+IF(Consulta!$B$6="Qualquer",0,IF($O72=Consulta!$B$6,2,-1))+IF(Consulta!$B$7="Não",0,IF($U72="Sim",3,IF($U72="Não",-6,0)))+IF(Consulta!$B$8="Qualquer",0,IF($C72=Consulta!$B$8,2,-3))+IF(Consulta!$B$9="Qualquer",0,IF($D72=Consulta!$B$9,2,-1))+IF($N72="",0,$N72)-ROW()/100000)))))</f>
        <v>7.99928</v>
      </c>
    </row>
    <row r="73" customFormat="false" ht="15" hidden="false" customHeight="false" outlineLevel="0" collapsed="false">
      <c r="A73" s="14" t="n">
        <v>7</v>
      </c>
      <c r="B73" s="15" t="s">
        <v>421</v>
      </c>
      <c r="C73" s="14" t="s">
        <v>147</v>
      </c>
      <c r="D73" s="14" t="s">
        <v>174</v>
      </c>
      <c r="E73" s="15" t="s">
        <v>422</v>
      </c>
      <c r="F73" s="14" t="s">
        <v>423</v>
      </c>
      <c r="G73" s="14" t="s">
        <v>424</v>
      </c>
      <c r="H73" s="14"/>
      <c r="I73" s="15"/>
      <c r="J73" s="14" t="s">
        <v>91</v>
      </c>
      <c r="K73" s="15" t="s">
        <v>425</v>
      </c>
      <c r="L73" s="16" t="s">
        <v>52</v>
      </c>
      <c r="M73" s="17"/>
      <c r="N73" s="16"/>
      <c r="O73" s="16"/>
      <c r="P73" s="18"/>
      <c r="Q73" s="16"/>
      <c r="R73" s="18"/>
      <c r="S73" s="16"/>
      <c r="T73" s="16"/>
      <c r="U73" s="16"/>
      <c r="V73" s="16"/>
      <c r="W73" s="16"/>
      <c r="X73" s="16"/>
      <c r="Y73" s="16"/>
      <c r="Z73" s="16"/>
      <c r="AA73" s="18"/>
      <c r="AB73" s="18"/>
      <c r="AC73" s="18"/>
      <c r="AD73" s="18"/>
      <c r="AE73" s="18"/>
      <c r="AF73" s="19" t="n">
        <f aca="false">IF($B73="","",IF(AND(Consulta!$B$11="Sim",$L73&lt;&gt;"Sim"),-9999,IF($H73=Consulta!$B$5,-9999,IF(AND(Consulta!$B$3&lt;&gt;"Qualquer",ISNUMBER(SEARCH(Consulta!$B$3,$AA73))),-9999,IF(AND(Consulta!$B$10="Sim",$V73&lt;&gt;"Sim"),-9999,IF(OR(Consulta!$B$3="Qualquer",ISNUMBER(SEARCH(Consulta!$B$3,$P73))),3,0)+IF(OR(Consulta!$B$12="Qualquer",ISNUMBER(SEARCH(Consulta!$B$12,$Q73))),2,0)+IF(OR(Consulta!$B$4="Qualquer",ISNUMBER(SEARCH(Consulta!$B$4,$R73))),3,0)+IF(Consulta!$B$6="Qualquer",0,IF($O73=Consulta!$B$6,2,-1))+IF(Consulta!$B$7="Não",0,IF($U73="Sim",3,IF($U73="Não",-6,0)))+IF(Consulta!$B$8="Qualquer",0,IF($C73=Consulta!$B$8,2,-3))+IF(Consulta!$B$9="Qualquer",0,IF($D73=Consulta!$B$9,2,-1))+IF($N73="",0,$N73)-ROW()/100000)))))</f>
        <v>7.99927</v>
      </c>
    </row>
    <row r="74" customFormat="false" ht="15" hidden="false" customHeight="false" outlineLevel="0" collapsed="false">
      <c r="A74" s="14" t="n">
        <v>7</v>
      </c>
      <c r="B74" s="15" t="s">
        <v>426</v>
      </c>
      <c r="C74" s="14" t="s">
        <v>147</v>
      </c>
      <c r="D74" s="14" t="s">
        <v>174</v>
      </c>
      <c r="E74" s="15" t="s">
        <v>427</v>
      </c>
      <c r="F74" s="14"/>
      <c r="G74" s="14" t="s">
        <v>428</v>
      </c>
      <c r="H74" s="14"/>
      <c r="I74" s="15"/>
      <c r="J74" s="14" t="s">
        <v>91</v>
      </c>
      <c r="K74" s="15" t="s">
        <v>321</v>
      </c>
      <c r="L74" s="16" t="s">
        <v>52</v>
      </c>
      <c r="M74" s="17"/>
      <c r="N74" s="16"/>
      <c r="O74" s="16"/>
      <c r="P74" s="18"/>
      <c r="Q74" s="16"/>
      <c r="R74" s="18"/>
      <c r="S74" s="16"/>
      <c r="T74" s="16"/>
      <c r="U74" s="16"/>
      <c r="V74" s="16"/>
      <c r="W74" s="16"/>
      <c r="X74" s="16"/>
      <c r="Y74" s="16"/>
      <c r="Z74" s="16"/>
      <c r="AA74" s="18"/>
      <c r="AB74" s="18"/>
      <c r="AC74" s="18"/>
      <c r="AD74" s="18"/>
      <c r="AE74" s="18"/>
      <c r="AF74" s="19" t="n">
        <f aca="false">IF($B74="","",IF(AND(Consulta!$B$11="Sim",$L74&lt;&gt;"Sim"),-9999,IF($H74=Consulta!$B$5,-9999,IF(AND(Consulta!$B$3&lt;&gt;"Qualquer",ISNUMBER(SEARCH(Consulta!$B$3,$AA74))),-9999,IF(AND(Consulta!$B$10="Sim",$V74&lt;&gt;"Sim"),-9999,IF(OR(Consulta!$B$3="Qualquer",ISNUMBER(SEARCH(Consulta!$B$3,$P74))),3,0)+IF(OR(Consulta!$B$12="Qualquer",ISNUMBER(SEARCH(Consulta!$B$12,$Q74))),2,0)+IF(OR(Consulta!$B$4="Qualquer",ISNUMBER(SEARCH(Consulta!$B$4,$R74))),3,0)+IF(Consulta!$B$6="Qualquer",0,IF($O74=Consulta!$B$6,2,-1))+IF(Consulta!$B$7="Não",0,IF($U74="Sim",3,IF($U74="Não",-6,0)))+IF(Consulta!$B$8="Qualquer",0,IF($C74=Consulta!$B$8,2,-3))+IF(Consulta!$B$9="Qualquer",0,IF($D74=Consulta!$B$9,2,-1))+IF($N74="",0,$N74)-ROW()/100000)))))</f>
        <v>7.99926</v>
      </c>
    </row>
    <row r="75" customFormat="false" ht="15" hidden="false" customHeight="false" outlineLevel="0" collapsed="false">
      <c r="A75" s="14" t="n">
        <v>7</v>
      </c>
      <c r="B75" s="15" t="s">
        <v>429</v>
      </c>
      <c r="C75" s="14" t="s">
        <v>155</v>
      </c>
      <c r="D75" s="14" t="s">
        <v>174</v>
      </c>
      <c r="E75" s="15" t="s">
        <v>430</v>
      </c>
      <c r="F75" s="14" t="s">
        <v>431</v>
      </c>
      <c r="G75" s="14" t="s">
        <v>432</v>
      </c>
      <c r="H75" s="14"/>
      <c r="I75" s="15"/>
      <c r="J75" s="14" t="s">
        <v>91</v>
      </c>
      <c r="K75" s="15" t="s">
        <v>425</v>
      </c>
      <c r="L75" s="16" t="s">
        <v>52</v>
      </c>
      <c r="M75" s="17"/>
      <c r="N75" s="16"/>
      <c r="O75" s="16"/>
      <c r="P75" s="18"/>
      <c r="Q75" s="16"/>
      <c r="R75" s="18"/>
      <c r="S75" s="16"/>
      <c r="T75" s="16"/>
      <c r="U75" s="16"/>
      <c r="V75" s="16"/>
      <c r="W75" s="16"/>
      <c r="X75" s="16"/>
      <c r="Y75" s="16"/>
      <c r="Z75" s="16"/>
      <c r="AA75" s="18"/>
      <c r="AB75" s="18"/>
      <c r="AC75" s="18"/>
      <c r="AD75" s="18"/>
      <c r="AE75" s="18"/>
      <c r="AF75" s="19" t="n">
        <f aca="false">IF($B75="","",IF(AND(Consulta!$B$11="Sim",$L75&lt;&gt;"Sim"),-9999,IF($H75=Consulta!$B$5,-9999,IF(AND(Consulta!$B$3&lt;&gt;"Qualquer",ISNUMBER(SEARCH(Consulta!$B$3,$AA75))),-9999,IF(AND(Consulta!$B$10="Sim",$V75&lt;&gt;"Sim"),-9999,IF(OR(Consulta!$B$3="Qualquer",ISNUMBER(SEARCH(Consulta!$B$3,$P75))),3,0)+IF(OR(Consulta!$B$12="Qualquer",ISNUMBER(SEARCH(Consulta!$B$12,$Q75))),2,0)+IF(OR(Consulta!$B$4="Qualquer",ISNUMBER(SEARCH(Consulta!$B$4,$R75))),3,0)+IF(Consulta!$B$6="Qualquer",0,IF($O75=Consulta!$B$6,2,-1))+IF(Consulta!$B$7="Não",0,IF($U75="Sim",3,IF($U75="Não",-6,0)))+IF(Consulta!$B$8="Qualquer",0,IF($C75=Consulta!$B$8,2,-3))+IF(Consulta!$B$9="Qualquer",0,IF($D75=Consulta!$B$9,2,-1))+IF($N75="",0,$N75)-ROW()/100000)))))</f>
        <v>7.99925</v>
      </c>
    </row>
    <row r="76" customFormat="false" ht="15" hidden="false" customHeight="false" outlineLevel="0" collapsed="false">
      <c r="A76" s="14" t="n">
        <v>7</v>
      </c>
      <c r="B76" s="15" t="s">
        <v>433</v>
      </c>
      <c r="C76" s="14" t="s">
        <v>143</v>
      </c>
      <c r="D76" s="14" t="s">
        <v>174</v>
      </c>
      <c r="E76" s="15" t="s">
        <v>434</v>
      </c>
      <c r="F76" s="14" t="s">
        <v>435</v>
      </c>
      <c r="G76" s="14" t="s">
        <v>436</v>
      </c>
      <c r="H76" s="14"/>
      <c r="I76" s="15"/>
      <c r="J76" s="14" t="s">
        <v>114</v>
      </c>
      <c r="K76" s="15" t="s">
        <v>321</v>
      </c>
      <c r="L76" s="16" t="s">
        <v>52</v>
      </c>
      <c r="M76" s="17"/>
      <c r="N76" s="16"/>
      <c r="O76" s="16"/>
      <c r="P76" s="18"/>
      <c r="Q76" s="16"/>
      <c r="R76" s="18"/>
      <c r="S76" s="16"/>
      <c r="T76" s="16"/>
      <c r="U76" s="16"/>
      <c r="V76" s="16"/>
      <c r="W76" s="16"/>
      <c r="X76" s="16"/>
      <c r="Y76" s="16"/>
      <c r="Z76" s="16"/>
      <c r="AA76" s="18"/>
      <c r="AB76" s="18"/>
      <c r="AC76" s="18"/>
      <c r="AD76" s="18"/>
      <c r="AE76" s="18"/>
      <c r="AF76" s="19" t="n">
        <f aca="false">IF($B76="","",IF(AND(Consulta!$B$11="Sim",$L76&lt;&gt;"Sim"),-9999,IF($H76=Consulta!$B$5,-9999,IF(AND(Consulta!$B$3&lt;&gt;"Qualquer",ISNUMBER(SEARCH(Consulta!$B$3,$AA76))),-9999,IF(AND(Consulta!$B$10="Sim",$V76&lt;&gt;"Sim"),-9999,IF(OR(Consulta!$B$3="Qualquer",ISNUMBER(SEARCH(Consulta!$B$3,$P76))),3,0)+IF(OR(Consulta!$B$12="Qualquer",ISNUMBER(SEARCH(Consulta!$B$12,$Q76))),2,0)+IF(OR(Consulta!$B$4="Qualquer",ISNUMBER(SEARCH(Consulta!$B$4,$R76))),3,0)+IF(Consulta!$B$6="Qualquer",0,IF($O76=Consulta!$B$6,2,-1))+IF(Consulta!$B$7="Não",0,IF($U76="Sim",3,IF($U76="Não",-6,0)))+IF(Consulta!$B$8="Qualquer",0,IF($C76=Consulta!$B$8,2,-3))+IF(Consulta!$B$9="Qualquer",0,IF($D76=Consulta!$B$9,2,-1))+IF($N76="",0,$N76)-ROW()/100000)))))</f>
        <v>7.99924</v>
      </c>
    </row>
    <row r="77" customFormat="false" ht="15" hidden="false" customHeight="false" outlineLevel="0" collapsed="false">
      <c r="A77" s="14" t="n">
        <v>8</v>
      </c>
      <c r="B77" s="15" t="s">
        <v>437</v>
      </c>
      <c r="C77" s="14" t="s">
        <v>88</v>
      </c>
      <c r="D77" s="14" t="s">
        <v>172</v>
      </c>
      <c r="E77" s="15" t="s">
        <v>438</v>
      </c>
      <c r="F77" s="14"/>
      <c r="G77" s="14" t="s">
        <v>439</v>
      </c>
      <c r="H77" s="14" t="s">
        <v>101</v>
      </c>
      <c r="I77" s="15" t="s">
        <v>440</v>
      </c>
      <c r="J77" s="14" t="s">
        <v>102</v>
      </c>
      <c r="K77" s="15" t="s">
        <v>441</v>
      </c>
      <c r="L77" s="16" t="s">
        <v>52</v>
      </c>
      <c r="M77" s="17"/>
      <c r="N77" s="16"/>
      <c r="O77" s="16"/>
      <c r="P77" s="18"/>
      <c r="Q77" s="16"/>
      <c r="R77" s="18"/>
      <c r="S77" s="16"/>
      <c r="T77" s="16"/>
      <c r="U77" s="16"/>
      <c r="V77" s="16"/>
      <c r="W77" s="16"/>
      <c r="X77" s="16"/>
      <c r="Y77" s="16"/>
      <c r="Z77" s="16"/>
      <c r="AA77" s="18"/>
      <c r="AB77" s="18"/>
      <c r="AC77" s="18"/>
      <c r="AD77" s="18"/>
      <c r="AE77" s="18"/>
      <c r="AF77" s="19" t="n">
        <f aca="false">IF($B77="","",IF(AND(Consulta!$B$11="Sim",$L77&lt;&gt;"Sim"),-9999,IF($H77=Consulta!$B$5,-9999,IF(AND(Consulta!$B$3&lt;&gt;"Qualquer",ISNUMBER(SEARCH(Consulta!$B$3,$AA77))),-9999,IF(AND(Consulta!$B$10="Sim",$V77&lt;&gt;"Sim"),-9999,IF(OR(Consulta!$B$3="Qualquer",ISNUMBER(SEARCH(Consulta!$B$3,$P77))),3,0)+IF(OR(Consulta!$B$12="Qualquer",ISNUMBER(SEARCH(Consulta!$B$12,$Q77))),2,0)+IF(OR(Consulta!$B$4="Qualquer",ISNUMBER(SEARCH(Consulta!$B$4,$R77))),3,0)+IF(Consulta!$B$6="Qualquer",0,IF($O77=Consulta!$B$6,2,-1))+IF(Consulta!$B$7="Não",0,IF($U77="Sim",3,IF($U77="Não",-6,0)))+IF(Consulta!$B$8="Qualquer",0,IF($C77=Consulta!$B$8,2,-3))+IF(Consulta!$B$9="Qualquer",0,IF($D77=Consulta!$B$9,2,-1))+IF($N77="",0,$N77)-ROW()/100000)))))</f>
        <v>7.99923</v>
      </c>
    </row>
    <row r="78" customFormat="false" ht="15" hidden="false" customHeight="false" outlineLevel="0" collapsed="false">
      <c r="A78" s="14" t="n">
        <v>8</v>
      </c>
      <c r="B78" s="15" t="s">
        <v>442</v>
      </c>
      <c r="C78" s="14" t="s">
        <v>155</v>
      </c>
      <c r="D78" s="14" t="s">
        <v>172</v>
      </c>
      <c r="E78" s="15" t="s">
        <v>438</v>
      </c>
      <c r="F78" s="14"/>
      <c r="G78" s="14" t="s">
        <v>439</v>
      </c>
      <c r="H78" s="14"/>
      <c r="I78" s="15"/>
      <c r="J78" s="14" t="s">
        <v>91</v>
      </c>
      <c r="K78" s="15" t="s">
        <v>441</v>
      </c>
      <c r="L78" s="16" t="s">
        <v>52</v>
      </c>
      <c r="M78" s="17"/>
      <c r="N78" s="16"/>
      <c r="O78" s="16"/>
      <c r="P78" s="18"/>
      <c r="Q78" s="16"/>
      <c r="R78" s="18"/>
      <c r="S78" s="16"/>
      <c r="T78" s="16"/>
      <c r="U78" s="16"/>
      <c r="V78" s="16"/>
      <c r="W78" s="16"/>
      <c r="X78" s="16"/>
      <c r="Y78" s="16"/>
      <c r="Z78" s="16"/>
      <c r="AA78" s="18"/>
      <c r="AB78" s="18"/>
      <c r="AC78" s="18"/>
      <c r="AD78" s="18"/>
      <c r="AE78" s="18"/>
      <c r="AF78" s="19" t="n">
        <f aca="false">IF($B78="","",IF(AND(Consulta!$B$11="Sim",$L78&lt;&gt;"Sim"),-9999,IF($H78=Consulta!$B$5,-9999,IF(AND(Consulta!$B$3&lt;&gt;"Qualquer",ISNUMBER(SEARCH(Consulta!$B$3,$AA78))),-9999,IF(AND(Consulta!$B$10="Sim",$V78&lt;&gt;"Sim"),-9999,IF(OR(Consulta!$B$3="Qualquer",ISNUMBER(SEARCH(Consulta!$B$3,$P78))),3,0)+IF(OR(Consulta!$B$12="Qualquer",ISNUMBER(SEARCH(Consulta!$B$12,$Q78))),2,0)+IF(OR(Consulta!$B$4="Qualquer",ISNUMBER(SEARCH(Consulta!$B$4,$R78))),3,0)+IF(Consulta!$B$6="Qualquer",0,IF($O78=Consulta!$B$6,2,-1))+IF(Consulta!$B$7="Não",0,IF($U78="Sim",3,IF($U78="Não",-6,0)))+IF(Consulta!$B$8="Qualquer",0,IF($C78=Consulta!$B$8,2,-3))+IF(Consulta!$B$9="Qualquer",0,IF($D78=Consulta!$B$9,2,-1))+IF($N78="",0,$N78)-ROW()/100000)))))</f>
        <v>7.99922</v>
      </c>
    </row>
    <row r="79" customFormat="false" ht="15" hidden="false" customHeight="false" outlineLevel="0" collapsed="false">
      <c r="A79" s="14" t="n">
        <v>8</v>
      </c>
      <c r="B79" s="15" t="s">
        <v>443</v>
      </c>
      <c r="C79" s="14" t="s">
        <v>135</v>
      </c>
      <c r="D79" s="14" t="s">
        <v>172</v>
      </c>
      <c r="E79" s="15" t="s">
        <v>444</v>
      </c>
      <c r="F79" s="14" t="s">
        <v>445</v>
      </c>
      <c r="G79" s="14" t="s">
        <v>446</v>
      </c>
      <c r="H79" s="14"/>
      <c r="I79" s="15"/>
      <c r="J79" s="14" t="s">
        <v>114</v>
      </c>
      <c r="K79" s="15" t="s">
        <v>447</v>
      </c>
      <c r="L79" s="16" t="s">
        <v>52</v>
      </c>
      <c r="M79" s="17"/>
      <c r="N79" s="16"/>
      <c r="O79" s="16"/>
      <c r="P79" s="18"/>
      <c r="Q79" s="16"/>
      <c r="R79" s="18"/>
      <c r="S79" s="16"/>
      <c r="T79" s="16"/>
      <c r="U79" s="16"/>
      <c r="V79" s="16"/>
      <c r="W79" s="16"/>
      <c r="X79" s="16"/>
      <c r="Y79" s="16"/>
      <c r="Z79" s="16"/>
      <c r="AA79" s="18"/>
      <c r="AB79" s="18"/>
      <c r="AC79" s="18"/>
      <c r="AD79" s="18"/>
      <c r="AE79" s="18"/>
      <c r="AF79" s="19" t="n">
        <f aca="false">IF($B79="","",IF(AND(Consulta!$B$11="Sim",$L79&lt;&gt;"Sim"),-9999,IF($H79=Consulta!$B$5,-9999,IF(AND(Consulta!$B$3&lt;&gt;"Qualquer",ISNUMBER(SEARCH(Consulta!$B$3,$AA79))),-9999,IF(AND(Consulta!$B$10="Sim",$V79&lt;&gt;"Sim"),-9999,IF(OR(Consulta!$B$3="Qualquer",ISNUMBER(SEARCH(Consulta!$B$3,$P79))),3,0)+IF(OR(Consulta!$B$12="Qualquer",ISNUMBER(SEARCH(Consulta!$B$12,$Q79))),2,0)+IF(OR(Consulta!$B$4="Qualquer",ISNUMBER(SEARCH(Consulta!$B$4,$R79))),3,0)+IF(Consulta!$B$6="Qualquer",0,IF($O79=Consulta!$B$6,2,-1))+IF(Consulta!$B$7="Não",0,IF($U79="Sim",3,IF($U79="Não",-6,0)))+IF(Consulta!$B$8="Qualquer",0,IF($C79=Consulta!$B$8,2,-3))+IF(Consulta!$B$9="Qualquer",0,IF($D79=Consulta!$B$9,2,-1))+IF($N79="",0,$N79)-ROW()/100000)))))</f>
        <v>7.99921</v>
      </c>
    </row>
    <row r="80" customFormat="false" ht="15" hidden="false" customHeight="false" outlineLevel="0" collapsed="false">
      <c r="A80" s="14" t="n">
        <v>8</v>
      </c>
      <c r="B80" s="15" t="s">
        <v>448</v>
      </c>
      <c r="C80" s="14" t="s">
        <v>99</v>
      </c>
      <c r="D80" s="14" t="s">
        <v>182</v>
      </c>
      <c r="E80" s="15" t="s">
        <v>449</v>
      </c>
      <c r="F80" s="14"/>
      <c r="G80" s="14"/>
      <c r="H80" s="14"/>
      <c r="I80" s="15"/>
      <c r="J80" s="14" t="s">
        <v>91</v>
      </c>
      <c r="K80" s="15" t="s">
        <v>450</v>
      </c>
      <c r="L80" s="16" t="s">
        <v>52</v>
      </c>
      <c r="M80" s="17"/>
      <c r="N80" s="16"/>
      <c r="O80" s="16"/>
      <c r="P80" s="18"/>
      <c r="Q80" s="16"/>
      <c r="R80" s="18"/>
      <c r="S80" s="16"/>
      <c r="T80" s="16"/>
      <c r="U80" s="16"/>
      <c r="V80" s="16"/>
      <c r="W80" s="16"/>
      <c r="X80" s="16"/>
      <c r="Y80" s="16"/>
      <c r="Z80" s="16"/>
      <c r="AA80" s="18"/>
      <c r="AB80" s="18"/>
      <c r="AC80" s="18"/>
      <c r="AD80" s="18"/>
      <c r="AE80" s="18"/>
      <c r="AF80" s="19" t="n">
        <f aca="false">IF($B80="","",IF(AND(Consulta!$B$11="Sim",$L80&lt;&gt;"Sim"),-9999,IF($H80=Consulta!$B$5,-9999,IF(AND(Consulta!$B$3&lt;&gt;"Qualquer",ISNUMBER(SEARCH(Consulta!$B$3,$AA80))),-9999,IF(AND(Consulta!$B$10="Sim",$V80&lt;&gt;"Sim"),-9999,IF(OR(Consulta!$B$3="Qualquer",ISNUMBER(SEARCH(Consulta!$B$3,$P80))),3,0)+IF(OR(Consulta!$B$12="Qualquer",ISNUMBER(SEARCH(Consulta!$B$12,$Q80))),2,0)+IF(OR(Consulta!$B$4="Qualquer",ISNUMBER(SEARCH(Consulta!$B$4,$R80))),3,0)+IF(Consulta!$B$6="Qualquer",0,IF($O80=Consulta!$B$6,2,-1))+IF(Consulta!$B$7="Não",0,IF($U80="Sim",3,IF($U80="Não",-6,0)))+IF(Consulta!$B$8="Qualquer",0,IF($C80=Consulta!$B$8,2,-3))+IF(Consulta!$B$9="Qualquer",0,IF($D80=Consulta!$B$9,2,-1))+IF($N80="",0,$N80)-ROW()/100000)))))</f>
        <v>7.9992</v>
      </c>
    </row>
    <row r="81" customFormat="false" ht="15" hidden="false" customHeight="false" outlineLevel="0" collapsed="false">
      <c r="A81" s="14" t="n">
        <v>8</v>
      </c>
      <c r="B81" s="15" t="s">
        <v>451</v>
      </c>
      <c r="C81" s="14" t="s">
        <v>99</v>
      </c>
      <c r="D81" s="14" t="s">
        <v>182</v>
      </c>
      <c r="E81" s="15" t="s">
        <v>452</v>
      </c>
      <c r="F81" s="14"/>
      <c r="G81" s="14"/>
      <c r="H81" s="14"/>
      <c r="I81" s="15"/>
      <c r="J81" s="14" t="s">
        <v>91</v>
      </c>
      <c r="K81" s="15" t="s">
        <v>450</v>
      </c>
      <c r="L81" s="16" t="s">
        <v>52</v>
      </c>
      <c r="M81" s="17"/>
      <c r="N81" s="16"/>
      <c r="O81" s="16"/>
      <c r="P81" s="18"/>
      <c r="Q81" s="16"/>
      <c r="R81" s="18"/>
      <c r="S81" s="16"/>
      <c r="T81" s="16"/>
      <c r="U81" s="16"/>
      <c r="V81" s="16"/>
      <c r="W81" s="16"/>
      <c r="X81" s="16"/>
      <c r="Y81" s="16"/>
      <c r="Z81" s="16"/>
      <c r="AA81" s="18"/>
      <c r="AB81" s="18"/>
      <c r="AC81" s="18"/>
      <c r="AD81" s="18"/>
      <c r="AE81" s="18"/>
      <c r="AF81" s="19" t="n">
        <f aca="false">IF($B81="","",IF(AND(Consulta!$B$11="Sim",$L81&lt;&gt;"Sim"),-9999,IF($H81=Consulta!$B$5,-9999,IF(AND(Consulta!$B$3&lt;&gt;"Qualquer",ISNUMBER(SEARCH(Consulta!$B$3,$AA81))),-9999,IF(AND(Consulta!$B$10="Sim",$V81&lt;&gt;"Sim"),-9999,IF(OR(Consulta!$B$3="Qualquer",ISNUMBER(SEARCH(Consulta!$B$3,$P81))),3,0)+IF(OR(Consulta!$B$12="Qualquer",ISNUMBER(SEARCH(Consulta!$B$12,$Q81))),2,0)+IF(OR(Consulta!$B$4="Qualquer",ISNUMBER(SEARCH(Consulta!$B$4,$R81))),3,0)+IF(Consulta!$B$6="Qualquer",0,IF($O81=Consulta!$B$6,2,-1))+IF(Consulta!$B$7="Não",0,IF($U81="Sim",3,IF($U81="Não",-6,0)))+IF(Consulta!$B$8="Qualquer",0,IF($C81=Consulta!$B$8,2,-3))+IF(Consulta!$B$9="Qualquer",0,IF($D81=Consulta!$B$9,2,-1))+IF($N81="",0,$N81)-ROW()/100000)))))</f>
        <v>7.99919</v>
      </c>
    </row>
    <row r="82" customFormat="false" ht="15" hidden="false" customHeight="false" outlineLevel="0" collapsed="false">
      <c r="A82" s="14" t="n">
        <v>8</v>
      </c>
      <c r="B82" s="15" t="s">
        <v>453</v>
      </c>
      <c r="C82" s="14" t="s">
        <v>88</v>
      </c>
      <c r="D82" s="14" t="s">
        <v>182</v>
      </c>
      <c r="E82" s="15" t="s">
        <v>454</v>
      </c>
      <c r="F82" s="14"/>
      <c r="G82" s="14" t="s">
        <v>455</v>
      </c>
      <c r="H82" s="14" t="s">
        <v>90</v>
      </c>
      <c r="I82" s="15"/>
      <c r="J82" s="14" t="s">
        <v>91</v>
      </c>
      <c r="K82" s="15" t="s">
        <v>450</v>
      </c>
      <c r="L82" s="16" t="s">
        <v>52</v>
      </c>
      <c r="M82" s="17"/>
      <c r="N82" s="16"/>
      <c r="O82" s="16"/>
      <c r="P82" s="18"/>
      <c r="Q82" s="16"/>
      <c r="R82" s="18"/>
      <c r="S82" s="16"/>
      <c r="T82" s="16"/>
      <c r="U82" s="16"/>
      <c r="V82" s="16"/>
      <c r="W82" s="16"/>
      <c r="X82" s="16"/>
      <c r="Y82" s="16"/>
      <c r="Z82" s="16"/>
      <c r="AA82" s="18"/>
      <c r="AB82" s="18"/>
      <c r="AC82" s="18"/>
      <c r="AD82" s="18"/>
      <c r="AE82" s="18"/>
      <c r="AF82" s="19" t="n">
        <f aca="false">IF($B82="","",IF(AND(Consulta!$B$11="Sim",$L82&lt;&gt;"Sim"),-9999,IF($H82=Consulta!$B$5,-9999,IF(AND(Consulta!$B$3&lt;&gt;"Qualquer",ISNUMBER(SEARCH(Consulta!$B$3,$AA82))),-9999,IF(AND(Consulta!$B$10="Sim",$V82&lt;&gt;"Sim"),-9999,IF(OR(Consulta!$B$3="Qualquer",ISNUMBER(SEARCH(Consulta!$B$3,$P82))),3,0)+IF(OR(Consulta!$B$12="Qualquer",ISNUMBER(SEARCH(Consulta!$B$12,$Q82))),2,0)+IF(OR(Consulta!$B$4="Qualquer",ISNUMBER(SEARCH(Consulta!$B$4,$R82))),3,0)+IF(Consulta!$B$6="Qualquer",0,IF($O82=Consulta!$B$6,2,-1))+IF(Consulta!$B$7="Não",0,IF($U82="Sim",3,IF($U82="Não",-6,0)))+IF(Consulta!$B$8="Qualquer",0,IF($C82=Consulta!$B$8,2,-3))+IF(Consulta!$B$9="Qualquer",0,IF($D82=Consulta!$B$9,2,-1))+IF($N82="",0,$N82)-ROW()/100000)))))</f>
        <v>7.99918</v>
      </c>
    </row>
    <row r="83" customFormat="false" ht="15" hidden="false" customHeight="false" outlineLevel="0" collapsed="false">
      <c r="A83" s="14" t="n">
        <v>8</v>
      </c>
      <c r="B83" s="15" t="s">
        <v>456</v>
      </c>
      <c r="C83" s="14" t="s">
        <v>167</v>
      </c>
      <c r="D83" s="14" t="s">
        <v>182</v>
      </c>
      <c r="E83" s="15" t="s">
        <v>457</v>
      </c>
      <c r="F83" s="14"/>
      <c r="G83" s="14"/>
      <c r="H83" s="14" t="s">
        <v>157</v>
      </c>
      <c r="I83" s="15"/>
      <c r="J83" s="14" t="s">
        <v>91</v>
      </c>
      <c r="K83" s="15" t="s">
        <v>450</v>
      </c>
      <c r="L83" s="16" t="s">
        <v>52</v>
      </c>
      <c r="M83" s="17"/>
      <c r="N83" s="16"/>
      <c r="O83" s="16"/>
      <c r="P83" s="18"/>
      <c r="Q83" s="16"/>
      <c r="R83" s="18"/>
      <c r="S83" s="16"/>
      <c r="T83" s="16"/>
      <c r="U83" s="16"/>
      <c r="V83" s="16"/>
      <c r="W83" s="16"/>
      <c r="X83" s="16"/>
      <c r="Y83" s="16"/>
      <c r="Z83" s="16"/>
      <c r="AA83" s="18"/>
      <c r="AB83" s="18"/>
      <c r="AC83" s="18"/>
      <c r="AD83" s="18"/>
      <c r="AE83" s="18"/>
      <c r="AF83" s="19" t="n">
        <f aca="false">IF($B83="","",IF(AND(Consulta!$B$11="Sim",$L83&lt;&gt;"Sim"),-9999,IF($H83=Consulta!$B$5,-9999,IF(AND(Consulta!$B$3&lt;&gt;"Qualquer",ISNUMBER(SEARCH(Consulta!$B$3,$AA83))),-9999,IF(AND(Consulta!$B$10="Sim",$V83&lt;&gt;"Sim"),-9999,IF(OR(Consulta!$B$3="Qualquer",ISNUMBER(SEARCH(Consulta!$B$3,$P83))),3,0)+IF(OR(Consulta!$B$12="Qualquer",ISNUMBER(SEARCH(Consulta!$B$12,$Q83))),2,0)+IF(OR(Consulta!$B$4="Qualquer",ISNUMBER(SEARCH(Consulta!$B$4,$R83))),3,0)+IF(Consulta!$B$6="Qualquer",0,IF($O83=Consulta!$B$6,2,-1))+IF(Consulta!$B$7="Não",0,IF($U83="Sim",3,IF($U83="Não",-6,0)))+IF(Consulta!$B$8="Qualquer",0,IF($C83=Consulta!$B$8,2,-3))+IF(Consulta!$B$9="Qualquer",0,IF($D83=Consulta!$B$9,2,-1))+IF($N83="",0,$N83)-ROW()/100000)))))</f>
        <v>7.99917</v>
      </c>
    </row>
    <row r="84" customFormat="false" ht="15" hidden="false" customHeight="false" outlineLevel="0" collapsed="false">
      <c r="A84" s="14" t="n">
        <v>8</v>
      </c>
      <c r="B84" s="15" t="s">
        <v>458</v>
      </c>
      <c r="C84" s="14" t="s">
        <v>169</v>
      </c>
      <c r="D84" s="14" t="s">
        <v>172</v>
      </c>
      <c r="E84" s="15" t="s">
        <v>459</v>
      </c>
      <c r="F84" s="14"/>
      <c r="G84" s="14"/>
      <c r="H84" s="14" t="s">
        <v>157</v>
      </c>
      <c r="I84" s="15"/>
      <c r="J84" s="14" t="s">
        <v>91</v>
      </c>
      <c r="K84" s="15" t="s">
        <v>460</v>
      </c>
      <c r="L84" s="16" t="s">
        <v>52</v>
      </c>
      <c r="M84" s="17"/>
      <c r="N84" s="16"/>
      <c r="O84" s="16"/>
      <c r="P84" s="18"/>
      <c r="Q84" s="16"/>
      <c r="R84" s="18"/>
      <c r="S84" s="16"/>
      <c r="T84" s="16"/>
      <c r="U84" s="16"/>
      <c r="V84" s="16"/>
      <c r="W84" s="16"/>
      <c r="X84" s="16"/>
      <c r="Y84" s="16"/>
      <c r="Z84" s="16"/>
      <c r="AA84" s="18"/>
      <c r="AB84" s="18"/>
      <c r="AC84" s="18"/>
      <c r="AD84" s="18"/>
      <c r="AE84" s="18"/>
      <c r="AF84" s="19" t="n">
        <f aca="false">IF($B84="","",IF(AND(Consulta!$B$11="Sim",$L84&lt;&gt;"Sim"),-9999,IF($H84=Consulta!$B$5,-9999,IF(AND(Consulta!$B$3&lt;&gt;"Qualquer",ISNUMBER(SEARCH(Consulta!$B$3,$AA84))),-9999,IF(AND(Consulta!$B$10="Sim",$V84&lt;&gt;"Sim"),-9999,IF(OR(Consulta!$B$3="Qualquer",ISNUMBER(SEARCH(Consulta!$B$3,$P84))),3,0)+IF(OR(Consulta!$B$12="Qualquer",ISNUMBER(SEARCH(Consulta!$B$12,$Q84))),2,0)+IF(OR(Consulta!$B$4="Qualquer",ISNUMBER(SEARCH(Consulta!$B$4,$R84))),3,0)+IF(Consulta!$B$6="Qualquer",0,IF($O84=Consulta!$B$6,2,-1))+IF(Consulta!$B$7="Não",0,IF($U84="Sim",3,IF($U84="Não",-6,0)))+IF(Consulta!$B$8="Qualquer",0,IF($C84=Consulta!$B$8,2,-3))+IF(Consulta!$B$9="Qualquer",0,IF($D84=Consulta!$B$9,2,-1))+IF($N84="",0,$N84)-ROW()/100000)))))</f>
        <v>7.99916</v>
      </c>
    </row>
    <row r="85" customFormat="false" ht="15" hidden="false" customHeight="false" outlineLevel="0" collapsed="false">
      <c r="A85" s="14" t="n">
        <v>8</v>
      </c>
      <c r="B85" s="15" t="s">
        <v>461</v>
      </c>
      <c r="C85" s="14" t="s">
        <v>99</v>
      </c>
      <c r="D85" s="14" t="s">
        <v>180</v>
      </c>
      <c r="E85" s="15" t="s">
        <v>462</v>
      </c>
      <c r="F85" s="14"/>
      <c r="G85" s="14" t="s">
        <v>463</v>
      </c>
      <c r="H85" s="14"/>
      <c r="I85" s="15"/>
      <c r="J85" s="14" t="s">
        <v>91</v>
      </c>
      <c r="K85" s="15" t="s">
        <v>306</v>
      </c>
      <c r="L85" s="16" t="s">
        <v>52</v>
      </c>
      <c r="M85" s="17"/>
      <c r="N85" s="16"/>
      <c r="O85" s="16"/>
      <c r="P85" s="18"/>
      <c r="Q85" s="16"/>
      <c r="R85" s="18"/>
      <c r="S85" s="16"/>
      <c r="T85" s="16"/>
      <c r="U85" s="16"/>
      <c r="V85" s="16"/>
      <c r="W85" s="16"/>
      <c r="X85" s="16"/>
      <c r="Y85" s="16"/>
      <c r="Z85" s="16"/>
      <c r="AA85" s="18"/>
      <c r="AB85" s="18"/>
      <c r="AC85" s="18"/>
      <c r="AD85" s="18"/>
      <c r="AE85" s="18"/>
      <c r="AF85" s="19" t="n">
        <f aca="false">IF($B85="","",IF(AND(Consulta!$B$11="Sim",$L85&lt;&gt;"Sim"),-9999,IF($H85=Consulta!$B$5,-9999,IF(AND(Consulta!$B$3&lt;&gt;"Qualquer",ISNUMBER(SEARCH(Consulta!$B$3,$AA85))),-9999,IF(AND(Consulta!$B$10="Sim",$V85&lt;&gt;"Sim"),-9999,IF(OR(Consulta!$B$3="Qualquer",ISNUMBER(SEARCH(Consulta!$B$3,$P85))),3,0)+IF(OR(Consulta!$B$12="Qualquer",ISNUMBER(SEARCH(Consulta!$B$12,$Q85))),2,0)+IF(OR(Consulta!$B$4="Qualquer",ISNUMBER(SEARCH(Consulta!$B$4,$R85))),3,0)+IF(Consulta!$B$6="Qualquer",0,IF($O85=Consulta!$B$6,2,-1))+IF(Consulta!$B$7="Não",0,IF($U85="Sim",3,IF($U85="Não",-6,0)))+IF(Consulta!$B$8="Qualquer",0,IF($C85=Consulta!$B$8,2,-3))+IF(Consulta!$B$9="Qualquer",0,IF($D85=Consulta!$B$9,2,-1))+IF($N85="",0,$N85)-ROW()/100000)))))</f>
        <v>7.99915</v>
      </c>
    </row>
    <row r="86" customFormat="false" ht="15" hidden="false" customHeight="false" outlineLevel="0" collapsed="false">
      <c r="A86" s="14" t="n">
        <v>9</v>
      </c>
      <c r="B86" s="15" t="s">
        <v>464</v>
      </c>
      <c r="C86" s="14" t="s">
        <v>111</v>
      </c>
      <c r="D86" s="14" t="s">
        <v>170</v>
      </c>
      <c r="E86" s="15" t="s">
        <v>464</v>
      </c>
      <c r="F86" s="14"/>
      <c r="G86" s="14"/>
      <c r="H86" s="14" t="s">
        <v>157</v>
      </c>
      <c r="I86" s="15"/>
      <c r="J86" s="14" t="s">
        <v>91</v>
      </c>
      <c r="K86" s="15" t="s">
        <v>465</v>
      </c>
      <c r="L86" s="16" t="s">
        <v>52</v>
      </c>
      <c r="M86" s="17"/>
      <c r="N86" s="16"/>
      <c r="O86" s="16"/>
      <c r="P86" s="18"/>
      <c r="Q86" s="16"/>
      <c r="R86" s="18"/>
      <c r="S86" s="16"/>
      <c r="T86" s="16"/>
      <c r="U86" s="16"/>
      <c r="V86" s="16"/>
      <c r="W86" s="16"/>
      <c r="X86" s="16"/>
      <c r="Y86" s="16"/>
      <c r="Z86" s="16"/>
      <c r="AA86" s="18"/>
      <c r="AB86" s="18"/>
      <c r="AC86" s="18"/>
      <c r="AD86" s="18"/>
      <c r="AE86" s="18"/>
      <c r="AF86" s="19" t="n">
        <f aca="false">IF($B86="","",IF(AND(Consulta!$B$11="Sim",$L86&lt;&gt;"Sim"),-9999,IF($H86=Consulta!$B$5,-9999,IF(AND(Consulta!$B$3&lt;&gt;"Qualquer",ISNUMBER(SEARCH(Consulta!$B$3,$AA86))),-9999,IF(AND(Consulta!$B$10="Sim",$V86&lt;&gt;"Sim"),-9999,IF(OR(Consulta!$B$3="Qualquer",ISNUMBER(SEARCH(Consulta!$B$3,$P86))),3,0)+IF(OR(Consulta!$B$12="Qualquer",ISNUMBER(SEARCH(Consulta!$B$12,$Q86))),2,0)+IF(OR(Consulta!$B$4="Qualquer",ISNUMBER(SEARCH(Consulta!$B$4,$R86))),3,0)+IF(Consulta!$B$6="Qualquer",0,IF($O86=Consulta!$B$6,2,-1))+IF(Consulta!$B$7="Não",0,IF($U86="Sim",3,IF($U86="Não",-6,0)))+IF(Consulta!$B$8="Qualquer",0,IF($C86=Consulta!$B$8,2,-3))+IF(Consulta!$B$9="Qualquer",0,IF($D86=Consulta!$B$9,2,-1))+IF($N86="",0,$N86)-ROW()/100000)))))</f>
        <v>7.99914</v>
      </c>
    </row>
    <row r="87" customFormat="false" ht="15" hidden="false" customHeight="false" outlineLevel="0" collapsed="false">
      <c r="A87" s="14" t="n">
        <v>9</v>
      </c>
      <c r="B87" s="15" t="s">
        <v>466</v>
      </c>
      <c r="C87" s="14" t="s">
        <v>111</v>
      </c>
      <c r="D87" s="14" t="s">
        <v>170</v>
      </c>
      <c r="E87" s="15" t="s">
        <v>467</v>
      </c>
      <c r="F87" s="14"/>
      <c r="G87" s="14"/>
      <c r="H87" s="14" t="s">
        <v>157</v>
      </c>
      <c r="I87" s="15" t="s">
        <v>318</v>
      </c>
      <c r="J87" s="14" t="s">
        <v>91</v>
      </c>
      <c r="K87" s="15" t="s">
        <v>468</v>
      </c>
      <c r="L87" s="16" t="s">
        <v>52</v>
      </c>
      <c r="M87" s="17"/>
      <c r="N87" s="16"/>
      <c r="O87" s="16"/>
      <c r="P87" s="18"/>
      <c r="Q87" s="16"/>
      <c r="R87" s="18"/>
      <c r="S87" s="16"/>
      <c r="T87" s="16"/>
      <c r="U87" s="16"/>
      <c r="V87" s="16"/>
      <c r="W87" s="16"/>
      <c r="X87" s="16"/>
      <c r="Y87" s="16"/>
      <c r="Z87" s="16"/>
      <c r="AA87" s="18"/>
      <c r="AB87" s="18"/>
      <c r="AC87" s="18"/>
      <c r="AD87" s="18"/>
      <c r="AE87" s="18"/>
      <c r="AF87" s="19" t="n">
        <f aca="false">IF($B87="","",IF(AND(Consulta!$B$11="Sim",$L87&lt;&gt;"Sim"),-9999,IF($H87=Consulta!$B$5,-9999,IF(AND(Consulta!$B$3&lt;&gt;"Qualquer",ISNUMBER(SEARCH(Consulta!$B$3,$AA87))),-9999,IF(AND(Consulta!$B$10="Sim",$V87&lt;&gt;"Sim"),-9999,IF(OR(Consulta!$B$3="Qualquer",ISNUMBER(SEARCH(Consulta!$B$3,$P87))),3,0)+IF(OR(Consulta!$B$12="Qualquer",ISNUMBER(SEARCH(Consulta!$B$12,$Q87))),2,0)+IF(OR(Consulta!$B$4="Qualquer",ISNUMBER(SEARCH(Consulta!$B$4,$R87))),3,0)+IF(Consulta!$B$6="Qualquer",0,IF($O87=Consulta!$B$6,2,-1))+IF(Consulta!$B$7="Não",0,IF($U87="Sim",3,IF($U87="Não",-6,0)))+IF(Consulta!$B$8="Qualquer",0,IF($C87=Consulta!$B$8,2,-3))+IF(Consulta!$B$9="Qualquer",0,IF($D87=Consulta!$B$9,2,-1))+IF($N87="",0,$N87)-ROW()/100000)))))</f>
        <v>7.99913</v>
      </c>
    </row>
    <row r="88" customFormat="false" ht="15" hidden="false" customHeight="false" outlineLevel="0" collapsed="false">
      <c r="A88" s="14" t="n">
        <v>9</v>
      </c>
      <c r="B88" s="15" t="s">
        <v>469</v>
      </c>
      <c r="C88" s="14" t="s">
        <v>167</v>
      </c>
      <c r="D88" s="14" t="s">
        <v>170</v>
      </c>
      <c r="E88" s="15" t="s">
        <v>467</v>
      </c>
      <c r="F88" s="14"/>
      <c r="G88" s="14" t="s">
        <v>470</v>
      </c>
      <c r="H88" s="14" t="s">
        <v>157</v>
      </c>
      <c r="I88" s="15"/>
      <c r="J88" s="14" t="s">
        <v>91</v>
      </c>
      <c r="K88" s="15" t="s">
        <v>465</v>
      </c>
      <c r="L88" s="16" t="s">
        <v>52</v>
      </c>
      <c r="M88" s="17"/>
      <c r="N88" s="16"/>
      <c r="O88" s="16"/>
      <c r="P88" s="18"/>
      <c r="Q88" s="16"/>
      <c r="R88" s="18"/>
      <c r="S88" s="16"/>
      <c r="T88" s="16"/>
      <c r="U88" s="16"/>
      <c r="V88" s="16"/>
      <c r="W88" s="16"/>
      <c r="X88" s="16"/>
      <c r="Y88" s="16"/>
      <c r="Z88" s="16"/>
      <c r="AA88" s="18"/>
      <c r="AB88" s="18"/>
      <c r="AC88" s="18"/>
      <c r="AD88" s="18"/>
      <c r="AE88" s="18"/>
      <c r="AF88" s="19" t="n">
        <f aca="false">IF($B88="","",IF(AND(Consulta!$B$11="Sim",$L88&lt;&gt;"Sim"),-9999,IF($H88=Consulta!$B$5,-9999,IF(AND(Consulta!$B$3&lt;&gt;"Qualquer",ISNUMBER(SEARCH(Consulta!$B$3,$AA88))),-9999,IF(AND(Consulta!$B$10="Sim",$V88&lt;&gt;"Sim"),-9999,IF(OR(Consulta!$B$3="Qualquer",ISNUMBER(SEARCH(Consulta!$B$3,$P88))),3,0)+IF(OR(Consulta!$B$12="Qualquer",ISNUMBER(SEARCH(Consulta!$B$12,$Q88))),2,0)+IF(OR(Consulta!$B$4="Qualquer",ISNUMBER(SEARCH(Consulta!$B$4,$R88))),3,0)+IF(Consulta!$B$6="Qualquer",0,IF($O88=Consulta!$B$6,2,-1))+IF(Consulta!$B$7="Não",0,IF($U88="Sim",3,IF($U88="Não",-6,0)))+IF(Consulta!$B$8="Qualquer",0,IF($C88=Consulta!$B$8,2,-3))+IF(Consulta!$B$9="Qualquer",0,IF($D88=Consulta!$B$9,2,-1))+IF($N88="",0,$N88)-ROW()/100000)))))</f>
        <v>7.99912</v>
      </c>
    </row>
    <row r="89" customFormat="false" ht="15" hidden="false" customHeight="false" outlineLevel="0" collapsed="false">
      <c r="A89" s="14" t="n">
        <v>9</v>
      </c>
      <c r="B89" s="15" t="s">
        <v>471</v>
      </c>
      <c r="C89" s="14" t="s">
        <v>169</v>
      </c>
      <c r="D89" s="14" t="s">
        <v>170</v>
      </c>
      <c r="E89" s="15" t="s">
        <v>471</v>
      </c>
      <c r="F89" s="14"/>
      <c r="G89" s="14"/>
      <c r="H89" s="14" t="s">
        <v>157</v>
      </c>
      <c r="I89" s="15"/>
      <c r="J89" s="14" t="s">
        <v>91</v>
      </c>
      <c r="K89" s="15" t="s">
        <v>465</v>
      </c>
      <c r="L89" s="16" t="s">
        <v>52</v>
      </c>
      <c r="M89" s="17"/>
      <c r="N89" s="16"/>
      <c r="O89" s="16"/>
      <c r="P89" s="18"/>
      <c r="Q89" s="16"/>
      <c r="R89" s="18"/>
      <c r="S89" s="16"/>
      <c r="T89" s="16"/>
      <c r="U89" s="16"/>
      <c r="V89" s="16"/>
      <c r="W89" s="16"/>
      <c r="X89" s="16"/>
      <c r="Y89" s="16"/>
      <c r="Z89" s="16"/>
      <c r="AA89" s="18"/>
      <c r="AB89" s="18"/>
      <c r="AC89" s="18"/>
      <c r="AD89" s="18"/>
      <c r="AE89" s="18"/>
      <c r="AF89" s="19" t="n">
        <f aca="false">IF($B89="","",IF(AND(Consulta!$B$11="Sim",$L89&lt;&gt;"Sim"),-9999,IF($H89=Consulta!$B$5,-9999,IF(AND(Consulta!$B$3&lt;&gt;"Qualquer",ISNUMBER(SEARCH(Consulta!$B$3,$AA89))),-9999,IF(AND(Consulta!$B$10="Sim",$V89&lt;&gt;"Sim"),-9999,IF(OR(Consulta!$B$3="Qualquer",ISNUMBER(SEARCH(Consulta!$B$3,$P89))),3,0)+IF(OR(Consulta!$B$12="Qualquer",ISNUMBER(SEARCH(Consulta!$B$12,$Q89))),2,0)+IF(OR(Consulta!$B$4="Qualquer",ISNUMBER(SEARCH(Consulta!$B$4,$R89))),3,0)+IF(Consulta!$B$6="Qualquer",0,IF($O89=Consulta!$B$6,2,-1))+IF(Consulta!$B$7="Não",0,IF($U89="Sim",3,IF($U89="Não",-6,0)))+IF(Consulta!$B$8="Qualquer",0,IF($C89=Consulta!$B$8,2,-3))+IF(Consulta!$B$9="Qualquer",0,IF($D89=Consulta!$B$9,2,-1))+IF($N89="",0,$N89)-ROW()/100000)))))</f>
        <v>7.99911</v>
      </c>
    </row>
    <row r="90" customFormat="false" ht="15" hidden="false" customHeight="false" outlineLevel="0" collapsed="false">
      <c r="A90" s="14" t="n">
        <v>9</v>
      </c>
      <c r="B90" s="15" t="s">
        <v>472</v>
      </c>
      <c r="C90" s="14" t="s">
        <v>123</v>
      </c>
      <c r="D90" s="14" t="s">
        <v>170</v>
      </c>
      <c r="E90" s="15" t="s">
        <v>473</v>
      </c>
      <c r="F90" s="14" t="s">
        <v>474</v>
      </c>
      <c r="G90" s="14" t="s">
        <v>475</v>
      </c>
      <c r="H90" s="14"/>
      <c r="I90" s="15"/>
      <c r="J90" s="14" t="s">
        <v>114</v>
      </c>
      <c r="K90" s="15" t="s">
        <v>468</v>
      </c>
      <c r="L90" s="16" t="s">
        <v>52</v>
      </c>
      <c r="M90" s="17"/>
      <c r="N90" s="16"/>
      <c r="O90" s="16"/>
      <c r="P90" s="18"/>
      <c r="Q90" s="16"/>
      <c r="R90" s="18"/>
      <c r="S90" s="16"/>
      <c r="T90" s="16"/>
      <c r="U90" s="16"/>
      <c r="V90" s="16"/>
      <c r="W90" s="16"/>
      <c r="X90" s="16"/>
      <c r="Y90" s="16"/>
      <c r="Z90" s="16"/>
      <c r="AA90" s="18"/>
      <c r="AB90" s="18"/>
      <c r="AC90" s="18"/>
      <c r="AD90" s="18"/>
      <c r="AE90" s="18"/>
      <c r="AF90" s="19" t="n">
        <f aca="false">IF($B90="","",IF(AND(Consulta!$B$11="Sim",$L90&lt;&gt;"Sim"),-9999,IF($H90=Consulta!$B$5,-9999,IF(AND(Consulta!$B$3&lt;&gt;"Qualquer",ISNUMBER(SEARCH(Consulta!$B$3,$AA90))),-9999,IF(AND(Consulta!$B$10="Sim",$V90&lt;&gt;"Sim"),-9999,IF(OR(Consulta!$B$3="Qualquer",ISNUMBER(SEARCH(Consulta!$B$3,$P90))),3,0)+IF(OR(Consulta!$B$12="Qualquer",ISNUMBER(SEARCH(Consulta!$B$12,$Q90))),2,0)+IF(OR(Consulta!$B$4="Qualquer",ISNUMBER(SEARCH(Consulta!$B$4,$R90))),3,0)+IF(Consulta!$B$6="Qualquer",0,IF($O90=Consulta!$B$6,2,-1))+IF(Consulta!$B$7="Não",0,IF($U90="Sim",3,IF($U90="Não",-6,0)))+IF(Consulta!$B$8="Qualquer",0,IF($C90=Consulta!$B$8,2,-3))+IF(Consulta!$B$9="Qualquer",0,IF($D90=Consulta!$B$9,2,-1))+IF($N90="",0,$N90)-ROW()/100000)))))</f>
        <v>7.9991</v>
      </c>
    </row>
    <row r="91" customFormat="false" ht="15" hidden="false" customHeight="false" outlineLevel="0" collapsed="false">
      <c r="A91" s="14" t="n">
        <v>9</v>
      </c>
      <c r="B91" s="15" t="s">
        <v>476</v>
      </c>
      <c r="C91" s="14" t="s">
        <v>169</v>
      </c>
      <c r="D91" s="14" t="s">
        <v>164</v>
      </c>
      <c r="E91" s="15" t="s">
        <v>164</v>
      </c>
      <c r="F91" s="14"/>
      <c r="G91" s="14"/>
      <c r="H91" s="14" t="s">
        <v>157</v>
      </c>
      <c r="I91" s="15"/>
      <c r="J91" s="14" t="s">
        <v>91</v>
      </c>
      <c r="K91" s="15" t="s">
        <v>468</v>
      </c>
      <c r="L91" s="16" t="s">
        <v>52</v>
      </c>
      <c r="M91" s="17"/>
      <c r="N91" s="16"/>
      <c r="O91" s="16"/>
      <c r="P91" s="18"/>
      <c r="Q91" s="16"/>
      <c r="R91" s="18"/>
      <c r="S91" s="16"/>
      <c r="T91" s="16"/>
      <c r="U91" s="16"/>
      <c r="V91" s="16"/>
      <c r="W91" s="16"/>
      <c r="X91" s="16"/>
      <c r="Y91" s="16"/>
      <c r="Z91" s="16"/>
      <c r="AA91" s="18"/>
      <c r="AB91" s="18"/>
      <c r="AC91" s="18"/>
      <c r="AD91" s="18"/>
      <c r="AE91" s="18"/>
      <c r="AF91" s="19" t="n">
        <f aca="false">IF($B91="","",IF(AND(Consulta!$B$11="Sim",$L91&lt;&gt;"Sim"),-9999,IF($H91=Consulta!$B$5,-9999,IF(AND(Consulta!$B$3&lt;&gt;"Qualquer",ISNUMBER(SEARCH(Consulta!$B$3,$AA91))),-9999,IF(AND(Consulta!$B$10="Sim",$V91&lt;&gt;"Sim"),-9999,IF(OR(Consulta!$B$3="Qualquer",ISNUMBER(SEARCH(Consulta!$B$3,$P91))),3,0)+IF(OR(Consulta!$B$12="Qualquer",ISNUMBER(SEARCH(Consulta!$B$12,$Q91))),2,0)+IF(OR(Consulta!$B$4="Qualquer",ISNUMBER(SEARCH(Consulta!$B$4,$R91))),3,0)+IF(Consulta!$B$6="Qualquer",0,IF($O91=Consulta!$B$6,2,-1))+IF(Consulta!$B$7="Não",0,IF($U91="Sim",3,IF($U91="Não",-6,0)))+IF(Consulta!$B$8="Qualquer",0,IF($C91=Consulta!$B$8,2,-3))+IF(Consulta!$B$9="Qualquer",0,IF($D91=Consulta!$B$9,2,-1))+IF($N91="",0,$N91)-ROW()/100000)))))</f>
        <v>7.99909</v>
      </c>
    </row>
    <row r="92" customFormat="false" ht="15" hidden="false" customHeight="false" outlineLevel="0" collapsed="false">
      <c r="A92" s="14" t="n">
        <v>9</v>
      </c>
      <c r="B92" s="15" t="s">
        <v>477</v>
      </c>
      <c r="C92" s="14" t="s">
        <v>88</v>
      </c>
      <c r="D92" s="14" t="s">
        <v>100</v>
      </c>
      <c r="E92" s="15" t="s">
        <v>478</v>
      </c>
      <c r="F92" s="14"/>
      <c r="G92" s="14" t="s">
        <v>479</v>
      </c>
      <c r="H92" s="14"/>
      <c r="I92" s="15" t="s">
        <v>480</v>
      </c>
      <c r="J92" s="14" t="s">
        <v>91</v>
      </c>
      <c r="K92" s="15" t="s">
        <v>481</v>
      </c>
      <c r="L92" s="16" t="s">
        <v>52</v>
      </c>
      <c r="M92" s="17"/>
      <c r="N92" s="16"/>
      <c r="O92" s="16"/>
      <c r="P92" s="18"/>
      <c r="Q92" s="16"/>
      <c r="R92" s="18"/>
      <c r="S92" s="16"/>
      <c r="T92" s="16"/>
      <c r="U92" s="16"/>
      <c r="V92" s="16"/>
      <c r="W92" s="16"/>
      <c r="X92" s="16"/>
      <c r="Y92" s="16"/>
      <c r="Z92" s="16"/>
      <c r="AA92" s="18"/>
      <c r="AB92" s="18"/>
      <c r="AC92" s="18"/>
      <c r="AD92" s="18"/>
      <c r="AE92" s="18"/>
      <c r="AF92" s="19" t="n">
        <f aca="false">IF($B92="","",IF(AND(Consulta!$B$11="Sim",$L92&lt;&gt;"Sim"),-9999,IF($H92=Consulta!$B$5,-9999,IF(AND(Consulta!$B$3&lt;&gt;"Qualquer",ISNUMBER(SEARCH(Consulta!$B$3,$AA92))),-9999,IF(AND(Consulta!$B$10="Sim",$V92&lt;&gt;"Sim"),-9999,IF(OR(Consulta!$B$3="Qualquer",ISNUMBER(SEARCH(Consulta!$B$3,$P92))),3,0)+IF(OR(Consulta!$B$12="Qualquer",ISNUMBER(SEARCH(Consulta!$B$12,$Q92))),2,0)+IF(OR(Consulta!$B$4="Qualquer",ISNUMBER(SEARCH(Consulta!$B$4,$R92))),3,0)+IF(Consulta!$B$6="Qualquer",0,IF($O92=Consulta!$B$6,2,-1))+IF(Consulta!$B$7="Não",0,IF($U92="Sim",3,IF($U92="Não",-6,0)))+IF(Consulta!$B$8="Qualquer",0,IF($C92=Consulta!$B$8,2,-3))+IF(Consulta!$B$9="Qualquer",0,IF($D92=Consulta!$B$9,2,-1))+IF($N92="",0,$N92)-ROW()/100000)))))</f>
        <v>7.99908</v>
      </c>
    </row>
    <row r="93" customFormat="false" ht="23.85" hidden="false" customHeight="false" outlineLevel="0" collapsed="false">
      <c r="A93" s="14" t="n">
        <v>9</v>
      </c>
      <c r="B93" s="15" t="s">
        <v>482</v>
      </c>
      <c r="C93" s="14" t="s">
        <v>111</v>
      </c>
      <c r="D93" s="14" t="s">
        <v>136</v>
      </c>
      <c r="E93" s="15" t="s">
        <v>483</v>
      </c>
      <c r="F93" s="14"/>
      <c r="G93" s="14" t="s">
        <v>484</v>
      </c>
      <c r="H93" s="14"/>
      <c r="I93" s="15"/>
      <c r="J93" s="14" t="s">
        <v>102</v>
      </c>
      <c r="K93" s="15" t="s">
        <v>485</v>
      </c>
      <c r="L93" s="16" t="s">
        <v>52</v>
      </c>
      <c r="M93" s="17"/>
      <c r="N93" s="16"/>
      <c r="O93" s="16"/>
      <c r="P93" s="18"/>
      <c r="Q93" s="16"/>
      <c r="R93" s="18"/>
      <c r="S93" s="16"/>
      <c r="T93" s="16"/>
      <c r="U93" s="16"/>
      <c r="V93" s="16"/>
      <c r="W93" s="16"/>
      <c r="X93" s="16"/>
      <c r="Y93" s="16"/>
      <c r="Z93" s="16"/>
      <c r="AA93" s="18"/>
      <c r="AB93" s="18"/>
      <c r="AC93" s="18"/>
      <c r="AD93" s="18"/>
      <c r="AE93" s="18"/>
      <c r="AF93" s="19" t="n">
        <f aca="false">IF($B93="","",IF(AND(Consulta!$B$11="Sim",$L93&lt;&gt;"Sim"),-9999,IF($H93=Consulta!$B$5,-9999,IF(AND(Consulta!$B$3&lt;&gt;"Qualquer",ISNUMBER(SEARCH(Consulta!$B$3,$AA93))),-9999,IF(AND(Consulta!$B$10="Sim",$V93&lt;&gt;"Sim"),-9999,IF(OR(Consulta!$B$3="Qualquer",ISNUMBER(SEARCH(Consulta!$B$3,$P93))),3,0)+IF(OR(Consulta!$B$12="Qualquer",ISNUMBER(SEARCH(Consulta!$B$12,$Q93))),2,0)+IF(OR(Consulta!$B$4="Qualquer",ISNUMBER(SEARCH(Consulta!$B$4,$R93))),3,0)+IF(Consulta!$B$6="Qualquer",0,IF($O93=Consulta!$B$6,2,-1))+IF(Consulta!$B$7="Não",0,IF($U93="Sim",3,IF($U93="Não",-6,0)))+IF(Consulta!$B$8="Qualquer",0,IF($C93=Consulta!$B$8,2,-3))+IF(Consulta!$B$9="Qualquer",0,IF($D93=Consulta!$B$9,2,-1))+IF($N93="",0,$N93)-ROW()/100000)))))</f>
        <v>7.99907</v>
      </c>
    </row>
    <row r="94" customFormat="false" ht="15" hidden="false" customHeight="false" outlineLevel="0" collapsed="false">
      <c r="A94" s="14" t="n">
        <v>9</v>
      </c>
      <c r="B94" s="15" t="s">
        <v>486</v>
      </c>
      <c r="C94" s="14" t="s">
        <v>161</v>
      </c>
      <c r="D94" s="14" t="s">
        <v>136</v>
      </c>
      <c r="E94" s="15" t="s">
        <v>487</v>
      </c>
      <c r="F94" s="14" t="s">
        <v>488</v>
      </c>
      <c r="G94" s="14" t="s">
        <v>265</v>
      </c>
      <c r="H94" s="14" t="s">
        <v>157</v>
      </c>
      <c r="I94" s="15"/>
      <c r="J94" s="14" t="s">
        <v>102</v>
      </c>
      <c r="K94" s="15" t="s">
        <v>485</v>
      </c>
      <c r="L94" s="16" t="s">
        <v>52</v>
      </c>
      <c r="M94" s="17"/>
      <c r="N94" s="16"/>
      <c r="O94" s="16"/>
      <c r="P94" s="18"/>
      <c r="Q94" s="16"/>
      <c r="R94" s="18"/>
      <c r="S94" s="16"/>
      <c r="T94" s="16"/>
      <c r="U94" s="16"/>
      <c r="V94" s="16"/>
      <c r="W94" s="16"/>
      <c r="X94" s="16"/>
      <c r="Y94" s="16"/>
      <c r="Z94" s="16"/>
      <c r="AA94" s="18"/>
      <c r="AB94" s="18"/>
      <c r="AC94" s="18"/>
      <c r="AD94" s="18"/>
      <c r="AE94" s="18"/>
      <c r="AF94" s="19" t="n">
        <f aca="false">IF($B94="","",IF(AND(Consulta!$B$11="Sim",$L94&lt;&gt;"Sim"),-9999,IF($H94=Consulta!$B$5,-9999,IF(AND(Consulta!$B$3&lt;&gt;"Qualquer",ISNUMBER(SEARCH(Consulta!$B$3,$AA94))),-9999,IF(AND(Consulta!$B$10="Sim",$V94&lt;&gt;"Sim"),-9999,IF(OR(Consulta!$B$3="Qualquer",ISNUMBER(SEARCH(Consulta!$B$3,$P94))),3,0)+IF(OR(Consulta!$B$12="Qualquer",ISNUMBER(SEARCH(Consulta!$B$12,$Q94))),2,0)+IF(OR(Consulta!$B$4="Qualquer",ISNUMBER(SEARCH(Consulta!$B$4,$R94))),3,0)+IF(Consulta!$B$6="Qualquer",0,IF($O94=Consulta!$B$6,2,-1))+IF(Consulta!$B$7="Não",0,IF($U94="Sim",3,IF($U94="Não",-6,0)))+IF(Consulta!$B$8="Qualquer",0,IF($C94=Consulta!$B$8,2,-3))+IF(Consulta!$B$9="Qualquer",0,IF($D94=Consulta!$B$9,2,-1))+IF($N94="",0,$N94)-ROW()/100000)))))</f>
        <v>7.99906</v>
      </c>
    </row>
    <row r="95" customFormat="false" ht="15" hidden="false" customHeight="false" outlineLevel="0" collapsed="false">
      <c r="A95" s="14" t="n">
        <v>9</v>
      </c>
      <c r="B95" s="15" t="s">
        <v>489</v>
      </c>
      <c r="C95" s="14" t="s">
        <v>111</v>
      </c>
      <c r="D95" s="14" t="s">
        <v>136</v>
      </c>
      <c r="E95" s="15" t="s">
        <v>490</v>
      </c>
      <c r="F95" s="14"/>
      <c r="G95" s="14"/>
      <c r="H95" s="14" t="s">
        <v>157</v>
      </c>
      <c r="I95" s="15" t="s">
        <v>318</v>
      </c>
      <c r="J95" s="14" t="s">
        <v>91</v>
      </c>
      <c r="K95" s="15" t="s">
        <v>485</v>
      </c>
      <c r="L95" s="16" t="s">
        <v>52</v>
      </c>
      <c r="M95" s="17"/>
      <c r="N95" s="16"/>
      <c r="O95" s="16"/>
      <c r="P95" s="18"/>
      <c r="Q95" s="16"/>
      <c r="R95" s="18"/>
      <c r="S95" s="16"/>
      <c r="T95" s="16"/>
      <c r="U95" s="16"/>
      <c r="V95" s="16"/>
      <c r="W95" s="16"/>
      <c r="X95" s="16"/>
      <c r="Y95" s="16"/>
      <c r="Z95" s="16"/>
      <c r="AA95" s="18"/>
      <c r="AB95" s="18"/>
      <c r="AC95" s="18"/>
      <c r="AD95" s="18"/>
      <c r="AE95" s="18"/>
      <c r="AF95" s="19" t="n">
        <f aca="false">IF($B95="","",IF(AND(Consulta!$B$11="Sim",$L95&lt;&gt;"Sim"),-9999,IF($H95=Consulta!$B$5,-9999,IF(AND(Consulta!$B$3&lt;&gt;"Qualquer",ISNUMBER(SEARCH(Consulta!$B$3,$AA95))),-9999,IF(AND(Consulta!$B$10="Sim",$V95&lt;&gt;"Sim"),-9999,IF(OR(Consulta!$B$3="Qualquer",ISNUMBER(SEARCH(Consulta!$B$3,$P95))),3,0)+IF(OR(Consulta!$B$12="Qualquer",ISNUMBER(SEARCH(Consulta!$B$12,$Q95))),2,0)+IF(OR(Consulta!$B$4="Qualquer",ISNUMBER(SEARCH(Consulta!$B$4,$R95))),3,0)+IF(Consulta!$B$6="Qualquer",0,IF($O95=Consulta!$B$6,2,-1))+IF(Consulta!$B$7="Não",0,IF($U95="Sim",3,IF($U95="Não",-6,0)))+IF(Consulta!$B$8="Qualquer",0,IF($C95=Consulta!$B$8,2,-3))+IF(Consulta!$B$9="Qualquer",0,IF($D95=Consulta!$B$9,2,-1))+IF($N95="",0,$N95)-ROW()/100000)))))</f>
        <v>7.99905</v>
      </c>
    </row>
    <row r="96" customFormat="false" ht="15" hidden="false" customHeight="false" outlineLevel="0" collapsed="false">
      <c r="A96" s="14" t="n">
        <v>10</v>
      </c>
      <c r="B96" s="15" t="s">
        <v>491</v>
      </c>
      <c r="C96" s="14" t="s">
        <v>169</v>
      </c>
      <c r="D96" s="14" t="s">
        <v>166</v>
      </c>
      <c r="E96" s="15" t="s">
        <v>492</v>
      </c>
      <c r="F96" s="14"/>
      <c r="G96" s="14"/>
      <c r="H96" s="14" t="s">
        <v>157</v>
      </c>
      <c r="I96" s="15"/>
      <c r="J96" s="14" t="s">
        <v>91</v>
      </c>
      <c r="K96" s="15" t="s">
        <v>387</v>
      </c>
      <c r="L96" s="16" t="s">
        <v>52</v>
      </c>
      <c r="M96" s="17"/>
      <c r="N96" s="16"/>
      <c r="O96" s="16"/>
      <c r="P96" s="18"/>
      <c r="Q96" s="16"/>
      <c r="R96" s="18"/>
      <c r="S96" s="16"/>
      <c r="T96" s="16"/>
      <c r="U96" s="16"/>
      <c r="V96" s="16"/>
      <c r="W96" s="16"/>
      <c r="X96" s="16"/>
      <c r="Y96" s="16"/>
      <c r="Z96" s="16"/>
      <c r="AA96" s="18"/>
      <c r="AB96" s="18"/>
      <c r="AC96" s="18"/>
      <c r="AD96" s="18"/>
      <c r="AE96" s="18"/>
      <c r="AF96" s="19" t="n">
        <f aca="false">IF($B96="","",IF(AND(Consulta!$B$11="Sim",$L96&lt;&gt;"Sim"),-9999,IF($H96=Consulta!$B$5,-9999,IF(AND(Consulta!$B$3&lt;&gt;"Qualquer",ISNUMBER(SEARCH(Consulta!$B$3,$AA96))),-9999,IF(AND(Consulta!$B$10="Sim",$V96&lt;&gt;"Sim"),-9999,IF(OR(Consulta!$B$3="Qualquer",ISNUMBER(SEARCH(Consulta!$B$3,$P96))),3,0)+IF(OR(Consulta!$B$12="Qualquer",ISNUMBER(SEARCH(Consulta!$B$12,$Q96))),2,0)+IF(OR(Consulta!$B$4="Qualquer",ISNUMBER(SEARCH(Consulta!$B$4,$R96))),3,0)+IF(Consulta!$B$6="Qualquer",0,IF($O96=Consulta!$B$6,2,-1))+IF(Consulta!$B$7="Não",0,IF($U96="Sim",3,IF($U96="Não",-6,0)))+IF(Consulta!$B$8="Qualquer",0,IF($C96=Consulta!$B$8,2,-3))+IF(Consulta!$B$9="Qualquer",0,IF($D96=Consulta!$B$9,2,-1))+IF($N96="",0,$N96)-ROW()/100000)))))</f>
        <v>7.99904</v>
      </c>
    </row>
    <row r="97" customFormat="false" ht="15" hidden="false" customHeight="false" outlineLevel="0" collapsed="false">
      <c r="A97" s="14" t="n">
        <v>10</v>
      </c>
      <c r="B97" s="15" t="s">
        <v>493</v>
      </c>
      <c r="C97" s="14" t="s">
        <v>169</v>
      </c>
      <c r="D97" s="14" t="s">
        <v>166</v>
      </c>
      <c r="E97" s="15" t="s">
        <v>493</v>
      </c>
      <c r="F97" s="14"/>
      <c r="G97" s="14"/>
      <c r="H97" s="14" t="s">
        <v>157</v>
      </c>
      <c r="I97" s="15"/>
      <c r="J97" s="14" t="s">
        <v>91</v>
      </c>
      <c r="K97" s="15" t="s">
        <v>387</v>
      </c>
      <c r="L97" s="16" t="s">
        <v>52</v>
      </c>
      <c r="M97" s="17"/>
      <c r="N97" s="16"/>
      <c r="O97" s="16"/>
      <c r="P97" s="18"/>
      <c r="Q97" s="16"/>
      <c r="R97" s="18"/>
      <c r="S97" s="16"/>
      <c r="T97" s="16"/>
      <c r="U97" s="16"/>
      <c r="V97" s="16"/>
      <c r="W97" s="16"/>
      <c r="X97" s="16"/>
      <c r="Y97" s="16"/>
      <c r="Z97" s="16"/>
      <c r="AA97" s="18"/>
      <c r="AB97" s="18"/>
      <c r="AC97" s="18"/>
      <c r="AD97" s="18"/>
      <c r="AE97" s="18"/>
      <c r="AF97" s="19" t="n">
        <f aca="false">IF($B97="","",IF(AND(Consulta!$B$11="Sim",$L97&lt;&gt;"Sim"),-9999,IF($H97=Consulta!$B$5,-9999,IF(AND(Consulta!$B$3&lt;&gt;"Qualquer",ISNUMBER(SEARCH(Consulta!$B$3,$AA97))),-9999,IF(AND(Consulta!$B$10="Sim",$V97&lt;&gt;"Sim"),-9999,IF(OR(Consulta!$B$3="Qualquer",ISNUMBER(SEARCH(Consulta!$B$3,$P97))),3,0)+IF(OR(Consulta!$B$12="Qualquer",ISNUMBER(SEARCH(Consulta!$B$12,$Q97))),2,0)+IF(OR(Consulta!$B$4="Qualquer",ISNUMBER(SEARCH(Consulta!$B$4,$R97))),3,0)+IF(Consulta!$B$6="Qualquer",0,IF($O97=Consulta!$B$6,2,-1))+IF(Consulta!$B$7="Não",0,IF($U97="Sim",3,IF($U97="Não",-6,0)))+IF(Consulta!$B$8="Qualquer",0,IF($C97=Consulta!$B$8,2,-3))+IF(Consulta!$B$9="Qualquer",0,IF($D97=Consulta!$B$9,2,-1))+IF($N97="",0,$N97)-ROW()/100000)))))</f>
        <v>7.99903</v>
      </c>
    </row>
    <row r="98" customFormat="false" ht="15" hidden="false" customHeight="false" outlineLevel="0" collapsed="false">
      <c r="A98" s="14" t="n">
        <v>10</v>
      </c>
      <c r="B98" s="15" t="s">
        <v>494</v>
      </c>
      <c r="C98" s="14" t="s">
        <v>111</v>
      </c>
      <c r="D98" s="14" t="s">
        <v>166</v>
      </c>
      <c r="E98" s="15" t="s">
        <v>494</v>
      </c>
      <c r="F98" s="14"/>
      <c r="G98" s="14"/>
      <c r="H98" s="14" t="s">
        <v>157</v>
      </c>
      <c r="I98" s="15"/>
      <c r="J98" s="14" t="s">
        <v>91</v>
      </c>
      <c r="K98" s="15" t="s">
        <v>387</v>
      </c>
      <c r="L98" s="16" t="s">
        <v>52</v>
      </c>
      <c r="M98" s="17"/>
      <c r="N98" s="16"/>
      <c r="O98" s="16"/>
      <c r="P98" s="18"/>
      <c r="Q98" s="16"/>
      <c r="R98" s="18"/>
      <c r="S98" s="16"/>
      <c r="T98" s="16"/>
      <c r="U98" s="16"/>
      <c r="V98" s="16"/>
      <c r="W98" s="16"/>
      <c r="X98" s="16"/>
      <c r="Y98" s="16"/>
      <c r="Z98" s="16"/>
      <c r="AA98" s="18"/>
      <c r="AB98" s="18"/>
      <c r="AC98" s="18"/>
      <c r="AD98" s="18"/>
      <c r="AE98" s="18"/>
      <c r="AF98" s="19" t="n">
        <f aca="false">IF($B98="","",IF(AND(Consulta!$B$11="Sim",$L98&lt;&gt;"Sim"),-9999,IF($H98=Consulta!$B$5,-9999,IF(AND(Consulta!$B$3&lt;&gt;"Qualquer",ISNUMBER(SEARCH(Consulta!$B$3,$AA98))),-9999,IF(AND(Consulta!$B$10="Sim",$V98&lt;&gt;"Sim"),-9999,IF(OR(Consulta!$B$3="Qualquer",ISNUMBER(SEARCH(Consulta!$B$3,$P98))),3,0)+IF(OR(Consulta!$B$12="Qualquer",ISNUMBER(SEARCH(Consulta!$B$12,$Q98))),2,0)+IF(OR(Consulta!$B$4="Qualquer",ISNUMBER(SEARCH(Consulta!$B$4,$R98))),3,0)+IF(Consulta!$B$6="Qualquer",0,IF($O98=Consulta!$B$6,2,-1))+IF(Consulta!$B$7="Não",0,IF($U98="Sim",3,IF($U98="Não",-6,0)))+IF(Consulta!$B$8="Qualquer",0,IF($C98=Consulta!$B$8,2,-3))+IF(Consulta!$B$9="Qualquer",0,IF($D98=Consulta!$B$9,2,-1))+IF($N98="",0,$N98)-ROW()/100000)))))</f>
        <v>7.99902</v>
      </c>
    </row>
    <row r="99" customFormat="false" ht="15" hidden="false" customHeight="false" outlineLevel="0" collapsed="false">
      <c r="A99" s="14" t="n">
        <v>10</v>
      </c>
      <c r="B99" s="15" t="s">
        <v>495</v>
      </c>
      <c r="C99" s="14" t="s">
        <v>111</v>
      </c>
      <c r="D99" s="14" t="s">
        <v>164</v>
      </c>
      <c r="E99" s="15" t="s">
        <v>496</v>
      </c>
      <c r="F99" s="14"/>
      <c r="G99" s="14"/>
      <c r="H99" s="14" t="s">
        <v>157</v>
      </c>
      <c r="I99" s="15"/>
      <c r="J99" s="14" t="s">
        <v>91</v>
      </c>
      <c r="K99" s="15" t="s">
        <v>497</v>
      </c>
      <c r="L99" s="16" t="s">
        <v>52</v>
      </c>
      <c r="M99" s="17"/>
      <c r="N99" s="16"/>
      <c r="O99" s="16"/>
      <c r="P99" s="18"/>
      <c r="Q99" s="16"/>
      <c r="R99" s="18"/>
      <c r="S99" s="16"/>
      <c r="T99" s="16"/>
      <c r="U99" s="16"/>
      <c r="V99" s="16"/>
      <c r="W99" s="16"/>
      <c r="X99" s="16"/>
      <c r="Y99" s="16"/>
      <c r="Z99" s="16"/>
      <c r="AA99" s="18"/>
      <c r="AB99" s="18"/>
      <c r="AC99" s="18"/>
      <c r="AD99" s="18"/>
      <c r="AE99" s="18"/>
      <c r="AF99" s="19" t="n">
        <f aca="false">IF($B99="","",IF(AND(Consulta!$B$11="Sim",$L99&lt;&gt;"Sim"),-9999,IF($H99=Consulta!$B$5,-9999,IF(AND(Consulta!$B$3&lt;&gt;"Qualquer",ISNUMBER(SEARCH(Consulta!$B$3,$AA99))),-9999,IF(AND(Consulta!$B$10="Sim",$V99&lt;&gt;"Sim"),-9999,IF(OR(Consulta!$B$3="Qualquer",ISNUMBER(SEARCH(Consulta!$B$3,$P99))),3,0)+IF(OR(Consulta!$B$12="Qualquer",ISNUMBER(SEARCH(Consulta!$B$12,$Q99))),2,0)+IF(OR(Consulta!$B$4="Qualquer",ISNUMBER(SEARCH(Consulta!$B$4,$R99))),3,0)+IF(Consulta!$B$6="Qualquer",0,IF($O99=Consulta!$B$6,2,-1))+IF(Consulta!$B$7="Não",0,IF($U99="Sim",3,IF($U99="Não",-6,0)))+IF(Consulta!$B$8="Qualquer",0,IF($C99=Consulta!$B$8,2,-3))+IF(Consulta!$B$9="Qualquer",0,IF($D99=Consulta!$B$9,2,-1))+IF($N99="",0,$N99)-ROW()/100000)))))</f>
        <v>7.99901</v>
      </c>
    </row>
    <row r="100" customFormat="false" ht="15" hidden="false" customHeight="false" outlineLevel="0" collapsed="false">
      <c r="A100" s="14" t="n">
        <v>10</v>
      </c>
      <c r="B100" s="15" t="s">
        <v>498</v>
      </c>
      <c r="C100" s="14" t="s">
        <v>147</v>
      </c>
      <c r="D100" s="14" t="s">
        <v>166</v>
      </c>
      <c r="E100" s="15" t="s">
        <v>499</v>
      </c>
      <c r="F100" s="14" t="s">
        <v>500</v>
      </c>
      <c r="G100" s="14" t="s">
        <v>501</v>
      </c>
      <c r="H100" s="14"/>
      <c r="I100" s="15"/>
      <c r="J100" s="14" t="s">
        <v>91</v>
      </c>
      <c r="K100" s="15" t="s">
        <v>387</v>
      </c>
      <c r="L100" s="16" t="s">
        <v>52</v>
      </c>
      <c r="M100" s="17"/>
      <c r="N100" s="16"/>
      <c r="O100" s="16"/>
      <c r="P100" s="18"/>
      <c r="Q100" s="16"/>
      <c r="R100" s="18"/>
      <c r="S100" s="16"/>
      <c r="T100" s="16"/>
      <c r="U100" s="16"/>
      <c r="V100" s="16"/>
      <c r="W100" s="16"/>
      <c r="X100" s="16"/>
      <c r="Y100" s="16"/>
      <c r="Z100" s="16"/>
      <c r="AA100" s="18"/>
      <c r="AB100" s="18"/>
      <c r="AC100" s="18"/>
      <c r="AD100" s="18"/>
      <c r="AE100" s="18"/>
      <c r="AF100" s="19" t="n">
        <f aca="false">IF($B100="","",IF(AND(Consulta!$B$11="Sim",$L100&lt;&gt;"Sim"),-9999,IF($H100=Consulta!$B$5,-9999,IF(AND(Consulta!$B$3&lt;&gt;"Qualquer",ISNUMBER(SEARCH(Consulta!$B$3,$AA100))),-9999,IF(AND(Consulta!$B$10="Sim",$V100&lt;&gt;"Sim"),-9999,IF(OR(Consulta!$B$3="Qualquer",ISNUMBER(SEARCH(Consulta!$B$3,$P100))),3,0)+IF(OR(Consulta!$B$12="Qualquer",ISNUMBER(SEARCH(Consulta!$B$12,$Q100))),2,0)+IF(OR(Consulta!$B$4="Qualquer",ISNUMBER(SEARCH(Consulta!$B$4,$R100))),3,0)+IF(Consulta!$B$6="Qualquer",0,IF($O100=Consulta!$B$6,2,-1))+IF(Consulta!$B$7="Não",0,IF($U100="Sim",3,IF($U100="Não",-6,0)))+IF(Consulta!$B$8="Qualquer",0,IF($C100=Consulta!$B$8,2,-3))+IF(Consulta!$B$9="Qualquer",0,IF($D100=Consulta!$B$9,2,-1))+IF($N100="",0,$N100)-ROW()/100000)))))</f>
        <v>7.999</v>
      </c>
    </row>
    <row r="101" customFormat="false" ht="15" hidden="false" customHeight="false" outlineLevel="0" collapsed="false">
      <c r="A101" s="14" t="n">
        <v>10</v>
      </c>
      <c r="B101" s="15" t="s">
        <v>502</v>
      </c>
      <c r="C101" s="14" t="s">
        <v>165</v>
      </c>
      <c r="D101" s="14" t="s">
        <v>166</v>
      </c>
      <c r="E101" s="15" t="s">
        <v>492</v>
      </c>
      <c r="F101" s="14"/>
      <c r="G101" s="14"/>
      <c r="H101" s="14"/>
      <c r="I101" s="15" t="s">
        <v>503</v>
      </c>
      <c r="J101" s="14" t="s">
        <v>91</v>
      </c>
      <c r="K101" s="15" t="s">
        <v>387</v>
      </c>
      <c r="L101" s="16" t="s">
        <v>52</v>
      </c>
      <c r="M101" s="17"/>
      <c r="N101" s="16"/>
      <c r="O101" s="16"/>
      <c r="P101" s="18"/>
      <c r="Q101" s="16"/>
      <c r="R101" s="18"/>
      <c r="S101" s="16"/>
      <c r="T101" s="16"/>
      <c r="U101" s="16"/>
      <c r="V101" s="16"/>
      <c r="W101" s="16"/>
      <c r="X101" s="16"/>
      <c r="Y101" s="16"/>
      <c r="Z101" s="16"/>
      <c r="AA101" s="18"/>
      <c r="AB101" s="18"/>
      <c r="AC101" s="18"/>
      <c r="AD101" s="18"/>
      <c r="AE101" s="18"/>
      <c r="AF101" s="19" t="n">
        <f aca="false">IF($B101="","",IF(AND(Consulta!$B$11="Sim",$L101&lt;&gt;"Sim"),-9999,IF($H101=Consulta!$B$5,-9999,IF(AND(Consulta!$B$3&lt;&gt;"Qualquer",ISNUMBER(SEARCH(Consulta!$B$3,$AA101))),-9999,IF(AND(Consulta!$B$10="Sim",$V101&lt;&gt;"Sim"),-9999,IF(OR(Consulta!$B$3="Qualquer",ISNUMBER(SEARCH(Consulta!$B$3,$P101))),3,0)+IF(OR(Consulta!$B$12="Qualquer",ISNUMBER(SEARCH(Consulta!$B$12,$Q101))),2,0)+IF(OR(Consulta!$B$4="Qualquer",ISNUMBER(SEARCH(Consulta!$B$4,$R101))),3,0)+IF(Consulta!$B$6="Qualquer",0,IF($O101=Consulta!$B$6,2,-1))+IF(Consulta!$B$7="Não",0,IF($U101="Sim",3,IF($U101="Não",-6,0)))+IF(Consulta!$B$8="Qualquer",0,IF($C101=Consulta!$B$8,2,-3))+IF(Consulta!$B$9="Qualquer",0,IF($D101=Consulta!$B$9,2,-1))+IF($N101="",0,$N101)-ROW()/100000)))))</f>
        <v>7.99899</v>
      </c>
    </row>
    <row r="102" customFormat="false" ht="15" hidden="false" customHeight="false" outlineLevel="0" collapsed="false">
      <c r="A102" s="14" t="n">
        <v>10</v>
      </c>
      <c r="B102" s="15" t="s">
        <v>504</v>
      </c>
      <c r="C102" s="14" t="s">
        <v>165</v>
      </c>
      <c r="D102" s="14" t="s">
        <v>166</v>
      </c>
      <c r="E102" s="15" t="s">
        <v>505</v>
      </c>
      <c r="F102" s="14"/>
      <c r="G102" s="14"/>
      <c r="H102" s="14" t="s">
        <v>149</v>
      </c>
      <c r="I102" s="15"/>
      <c r="J102" s="14" t="s">
        <v>91</v>
      </c>
      <c r="K102" s="15" t="s">
        <v>387</v>
      </c>
      <c r="L102" s="16" t="s">
        <v>52</v>
      </c>
      <c r="M102" s="17"/>
      <c r="N102" s="16"/>
      <c r="O102" s="16"/>
      <c r="P102" s="18"/>
      <c r="Q102" s="16"/>
      <c r="R102" s="18"/>
      <c r="S102" s="16"/>
      <c r="T102" s="16"/>
      <c r="U102" s="16"/>
      <c r="V102" s="16"/>
      <c r="W102" s="16"/>
      <c r="X102" s="16"/>
      <c r="Y102" s="16"/>
      <c r="Z102" s="16"/>
      <c r="AA102" s="18"/>
      <c r="AB102" s="18"/>
      <c r="AC102" s="18"/>
      <c r="AD102" s="18"/>
      <c r="AE102" s="18"/>
      <c r="AF102" s="19" t="n">
        <f aca="false">IF($B102="","",IF(AND(Consulta!$B$11="Sim",$L102&lt;&gt;"Sim"),-9999,IF($H102=Consulta!$B$5,-9999,IF(AND(Consulta!$B$3&lt;&gt;"Qualquer",ISNUMBER(SEARCH(Consulta!$B$3,$AA102))),-9999,IF(AND(Consulta!$B$10="Sim",$V102&lt;&gt;"Sim"),-9999,IF(OR(Consulta!$B$3="Qualquer",ISNUMBER(SEARCH(Consulta!$B$3,$P102))),3,0)+IF(OR(Consulta!$B$12="Qualquer",ISNUMBER(SEARCH(Consulta!$B$12,$Q102))),2,0)+IF(OR(Consulta!$B$4="Qualquer",ISNUMBER(SEARCH(Consulta!$B$4,$R102))),3,0)+IF(Consulta!$B$6="Qualquer",0,IF($O102=Consulta!$B$6,2,-1))+IF(Consulta!$B$7="Não",0,IF($U102="Sim",3,IF($U102="Não",-6,0)))+IF(Consulta!$B$8="Qualquer",0,IF($C102=Consulta!$B$8,2,-3))+IF(Consulta!$B$9="Qualquer",0,IF($D102=Consulta!$B$9,2,-1))+IF($N102="",0,$N102)-ROW()/100000)))))</f>
        <v>7.99898</v>
      </c>
    </row>
    <row r="103" customFormat="false" ht="15" hidden="false" customHeight="false" outlineLevel="0" collapsed="false">
      <c r="A103" s="14" t="n">
        <v>10</v>
      </c>
      <c r="B103" s="15" t="s">
        <v>506</v>
      </c>
      <c r="C103" s="14" t="s">
        <v>169</v>
      </c>
      <c r="D103" s="14" t="s">
        <v>166</v>
      </c>
      <c r="E103" s="15" t="s">
        <v>506</v>
      </c>
      <c r="F103" s="14"/>
      <c r="G103" s="14"/>
      <c r="H103" s="14" t="s">
        <v>157</v>
      </c>
      <c r="I103" s="15"/>
      <c r="J103" s="14" t="s">
        <v>91</v>
      </c>
      <c r="K103" s="15" t="s">
        <v>387</v>
      </c>
      <c r="L103" s="16" t="s">
        <v>52</v>
      </c>
      <c r="M103" s="17"/>
      <c r="N103" s="16"/>
      <c r="O103" s="16"/>
      <c r="P103" s="18"/>
      <c r="Q103" s="16"/>
      <c r="R103" s="18"/>
      <c r="S103" s="16"/>
      <c r="T103" s="16"/>
      <c r="U103" s="16"/>
      <c r="V103" s="16"/>
      <c r="W103" s="16"/>
      <c r="X103" s="16"/>
      <c r="Y103" s="16"/>
      <c r="Z103" s="16"/>
      <c r="AA103" s="18"/>
      <c r="AB103" s="18"/>
      <c r="AC103" s="18"/>
      <c r="AD103" s="18"/>
      <c r="AE103" s="18"/>
      <c r="AF103" s="19" t="n">
        <f aca="false">IF($B103="","",IF(AND(Consulta!$B$11="Sim",$L103&lt;&gt;"Sim"),-9999,IF($H103=Consulta!$B$5,-9999,IF(AND(Consulta!$B$3&lt;&gt;"Qualquer",ISNUMBER(SEARCH(Consulta!$B$3,$AA103))),-9999,IF(AND(Consulta!$B$10="Sim",$V103&lt;&gt;"Sim"),-9999,IF(OR(Consulta!$B$3="Qualquer",ISNUMBER(SEARCH(Consulta!$B$3,$P103))),3,0)+IF(OR(Consulta!$B$12="Qualquer",ISNUMBER(SEARCH(Consulta!$B$12,$Q103))),2,0)+IF(OR(Consulta!$B$4="Qualquer",ISNUMBER(SEARCH(Consulta!$B$4,$R103))),3,0)+IF(Consulta!$B$6="Qualquer",0,IF($O103=Consulta!$B$6,2,-1))+IF(Consulta!$B$7="Não",0,IF($U103="Sim",3,IF($U103="Não",-6,0)))+IF(Consulta!$B$8="Qualquer",0,IF($C103=Consulta!$B$8,2,-3))+IF(Consulta!$B$9="Qualquer",0,IF($D103=Consulta!$B$9,2,-1))+IF($N103="",0,$N103)-ROW()/100000)))))</f>
        <v>7.99897</v>
      </c>
    </row>
    <row r="104" customFormat="false" ht="15" hidden="false" customHeight="false" outlineLevel="0" collapsed="false">
      <c r="A104" s="14" t="n">
        <v>11</v>
      </c>
      <c r="B104" s="15" t="s">
        <v>507</v>
      </c>
      <c r="C104" s="14" t="s">
        <v>163</v>
      </c>
      <c r="D104" s="14" t="s">
        <v>152</v>
      </c>
      <c r="E104" s="15" t="s">
        <v>508</v>
      </c>
      <c r="F104" s="14"/>
      <c r="G104" s="14" t="s">
        <v>509</v>
      </c>
      <c r="H104" s="14" t="s">
        <v>157</v>
      </c>
      <c r="I104" s="15"/>
      <c r="J104" s="14" t="s">
        <v>91</v>
      </c>
      <c r="K104" s="15" t="s">
        <v>510</v>
      </c>
      <c r="L104" s="16" t="s">
        <v>52</v>
      </c>
      <c r="M104" s="17"/>
      <c r="N104" s="16"/>
      <c r="O104" s="16"/>
      <c r="P104" s="18"/>
      <c r="Q104" s="16"/>
      <c r="R104" s="18"/>
      <c r="S104" s="16"/>
      <c r="T104" s="16"/>
      <c r="U104" s="16"/>
      <c r="V104" s="16"/>
      <c r="W104" s="16"/>
      <c r="X104" s="16"/>
      <c r="Y104" s="16"/>
      <c r="Z104" s="16"/>
      <c r="AA104" s="18"/>
      <c r="AB104" s="18"/>
      <c r="AC104" s="18"/>
      <c r="AD104" s="18"/>
      <c r="AE104" s="18"/>
      <c r="AF104" s="19" t="n">
        <f aca="false">IF($B104="","",IF(AND(Consulta!$B$11="Sim",$L104&lt;&gt;"Sim"),-9999,IF($H104=Consulta!$B$5,-9999,IF(AND(Consulta!$B$3&lt;&gt;"Qualquer",ISNUMBER(SEARCH(Consulta!$B$3,$AA104))),-9999,IF(AND(Consulta!$B$10="Sim",$V104&lt;&gt;"Sim"),-9999,IF(OR(Consulta!$B$3="Qualquer",ISNUMBER(SEARCH(Consulta!$B$3,$P104))),3,0)+IF(OR(Consulta!$B$12="Qualquer",ISNUMBER(SEARCH(Consulta!$B$12,$Q104))),2,0)+IF(OR(Consulta!$B$4="Qualquer",ISNUMBER(SEARCH(Consulta!$B$4,$R104))),3,0)+IF(Consulta!$B$6="Qualquer",0,IF($O104=Consulta!$B$6,2,-1))+IF(Consulta!$B$7="Não",0,IF($U104="Sim",3,IF($U104="Não",-6,0)))+IF(Consulta!$B$8="Qualquer",0,IF($C104=Consulta!$B$8,2,-3))+IF(Consulta!$B$9="Qualquer",0,IF($D104=Consulta!$B$9,2,-1))+IF($N104="",0,$N104)-ROW()/100000)))))</f>
        <v>7.99896</v>
      </c>
    </row>
    <row r="105" customFormat="false" ht="15" hidden="false" customHeight="false" outlineLevel="0" collapsed="false">
      <c r="A105" s="14" t="n">
        <v>11</v>
      </c>
      <c r="B105" s="15" t="s">
        <v>511</v>
      </c>
      <c r="C105" s="14" t="s">
        <v>111</v>
      </c>
      <c r="D105" s="14" t="s">
        <v>152</v>
      </c>
      <c r="E105" s="15" t="s">
        <v>508</v>
      </c>
      <c r="F105" s="14"/>
      <c r="G105" s="14"/>
      <c r="H105" s="14" t="s">
        <v>157</v>
      </c>
      <c r="I105" s="15" t="s">
        <v>318</v>
      </c>
      <c r="J105" s="14" t="s">
        <v>91</v>
      </c>
      <c r="K105" s="15" t="s">
        <v>510</v>
      </c>
      <c r="L105" s="16" t="s">
        <v>52</v>
      </c>
      <c r="M105" s="17"/>
      <c r="N105" s="16"/>
      <c r="O105" s="16"/>
      <c r="P105" s="18"/>
      <c r="Q105" s="16"/>
      <c r="R105" s="18"/>
      <c r="S105" s="16"/>
      <c r="T105" s="16"/>
      <c r="U105" s="16"/>
      <c r="V105" s="16"/>
      <c r="W105" s="16"/>
      <c r="X105" s="16"/>
      <c r="Y105" s="16"/>
      <c r="Z105" s="16"/>
      <c r="AA105" s="18"/>
      <c r="AB105" s="18"/>
      <c r="AC105" s="18"/>
      <c r="AD105" s="18"/>
      <c r="AE105" s="18"/>
      <c r="AF105" s="19" t="n">
        <f aca="false">IF($B105="","",IF(AND(Consulta!$B$11="Sim",$L105&lt;&gt;"Sim"),-9999,IF($H105=Consulta!$B$5,-9999,IF(AND(Consulta!$B$3&lt;&gt;"Qualquer",ISNUMBER(SEARCH(Consulta!$B$3,$AA105))),-9999,IF(AND(Consulta!$B$10="Sim",$V105&lt;&gt;"Sim"),-9999,IF(OR(Consulta!$B$3="Qualquer",ISNUMBER(SEARCH(Consulta!$B$3,$P105))),3,0)+IF(OR(Consulta!$B$12="Qualquer",ISNUMBER(SEARCH(Consulta!$B$12,$Q105))),2,0)+IF(OR(Consulta!$B$4="Qualquer",ISNUMBER(SEARCH(Consulta!$B$4,$R105))),3,0)+IF(Consulta!$B$6="Qualquer",0,IF($O105=Consulta!$B$6,2,-1))+IF(Consulta!$B$7="Não",0,IF($U105="Sim",3,IF($U105="Não",-6,0)))+IF(Consulta!$B$8="Qualquer",0,IF($C105=Consulta!$B$8,2,-3))+IF(Consulta!$B$9="Qualquer",0,IF($D105=Consulta!$B$9,2,-1))+IF($N105="",0,$N105)-ROW()/100000)))))</f>
        <v>7.99895</v>
      </c>
    </row>
    <row r="106" customFormat="false" ht="15" hidden="false" customHeight="false" outlineLevel="0" collapsed="false">
      <c r="A106" s="14" t="n">
        <v>11</v>
      </c>
      <c r="B106" s="15" t="s">
        <v>512</v>
      </c>
      <c r="C106" s="14" t="s">
        <v>167</v>
      </c>
      <c r="D106" s="14" t="s">
        <v>152</v>
      </c>
      <c r="E106" s="15" t="s">
        <v>512</v>
      </c>
      <c r="F106" s="14"/>
      <c r="G106" s="14"/>
      <c r="H106" s="14" t="s">
        <v>157</v>
      </c>
      <c r="I106" s="15"/>
      <c r="J106" s="14" t="s">
        <v>91</v>
      </c>
      <c r="K106" s="15" t="s">
        <v>510</v>
      </c>
      <c r="L106" s="16" t="s">
        <v>52</v>
      </c>
      <c r="M106" s="17"/>
      <c r="N106" s="16"/>
      <c r="O106" s="16"/>
      <c r="P106" s="18"/>
      <c r="Q106" s="16"/>
      <c r="R106" s="18"/>
      <c r="S106" s="16"/>
      <c r="T106" s="16"/>
      <c r="U106" s="16"/>
      <c r="V106" s="16"/>
      <c r="W106" s="16"/>
      <c r="X106" s="16"/>
      <c r="Y106" s="16"/>
      <c r="Z106" s="16"/>
      <c r="AA106" s="18"/>
      <c r="AB106" s="18"/>
      <c r="AC106" s="18"/>
      <c r="AD106" s="18"/>
      <c r="AE106" s="18"/>
      <c r="AF106" s="19" t="n">
        <f aca="false">IF($B106="","",IF(AND(Consulta!$B$11="Sim",$L106&lt;&gt;"Sim"),-9999,IF($H106=Consulta!$B$5,-9999,IF(AND(Consulta!$B$3&lt;&gt;"Qualquer",ISNUMBER(SEARCH(Consulta!$B$3,$AA106))),-9999,IF(AND(Consulta!$B$10="Sim",$V106&lt;&gt;"Sim"),-9999,IF(OR(Consulta!$B$3="Qualquer",ISNUMBER(SEARCH(Consulta!$B$3,$P106))),3,0)+IF(OR(Consulta!$B$12="Qualquer",ISNUMBER(SEARCH(Consulta!$B$12,$Q106))),2,0)+IF(OR(Consulta!$B$4="Qualquer",ISNUMBER(SEARCH(Consulta!$B$4,$R106))),3,0)+IF(Consulta!$B$6="Qualquer",0,IF($O106=Consulta!$B$6,2,-1))+IF(Consulta!$B$7="Não",0,IF($U106="Sim",3,IF($U106="Não",-6,0)))+IF(Consulta!$B$8="Qualquer",0,IF($C106=Consulta!$B$8,2,-3))+IF(Consulta!$B$9="Qualquer",0,IF($D106=Consulta!$B$9,2,-1))+IF($N106="",0,$N106)-ROW()/100000)))))</f>
        <v>7.99894</v>
      </c>
    </row>
    <row r="107" customFormat="false" ht="15" hidden="false" customHeight="false" outlineLevel="0" collapsed="false">
      <c r="A107" s="14" t="n">
        <v>11</v>
      </c>
      <c r="B107" s="15" t="s">
        <v>513</v>
      </c>
      <c r="C107" s="14" t="s">
        <v>169</v>
      </c>
      <c r="D107" s="14" t="s">
        <v>179</v>
      </c>
      <c r="E107" s="15" t="s">
        <v>514</v>
      </c>
      <c r="F107" s="14"/>
      <c r="G107" s="14"/>
      <c r="H107" s="14"/>
      <c r="I107" s="15" t="s">
        <v>515</v>
      </c>
      <c r="J107" s="14" t="s">
        <v>102</v>
      </c>
      <c r="K107" s="15" t="s">
        <v>516</v>
      </c>
      <c r="L107" s="16" t="s">
        <v>52</v>
      </c>
      <c r="M107" s="17"/>
      <c r="N107" s="16"/>
      <c r="O107" s="16"/>
      <c r="P107" s="18"/>
      <c r="Q107" s="16"/>
      <c r="R107" s="18"/>
      <c r="S107" s="16"/>
      <c r="T107" s="16"/>
      <c r="U107" s="16"/>
      <c r="V107" s="16"/>
      <c r="W107" s="16"/>
      <c r="X107" s="16"/>
      <c r="Y107" s="16"/>
      <c r="Z107" s="16"/>
      <c r="AA107" s="18"/>
      <c r="AB107" s="18"/>
      <c r="AC107" s="18"/>
      <c r="AD107" s="18"/>
      <c r="AE107" s="18"/>
      <c r="AF107" s="19" t="n">
        <f aca="false">IF($B107="","",IF(AND(Consulta!$B$11="Sim",$L107&lt;&gt;"Sim"),-9999,IF($H107=Consulta!$B$5,-9999,IF(AND(Consulta!$B$3&lt;&gt;"Qualquer",ISNUMBER(SEARCH(Consulta!$B$3,$AA107))),-9999,IF(AND(Consulta!$B$10="Sim",$V107&lt;&gt;"Sim"),-9999,IF(OR(Consulta!$B$3="Qualquer",ISNUMBER(SEARCH(Consulta!$B$3,$P107))),3,0)+IF(OR(Consulta!$B$12="Qualquer",ISNUMBER(SEARCH(Consulta!$B$12,$Q107))),2,0)+IF(OR(Consulta!$B$4="Qualquer",ISNUMBER(SEARCH(Consulta!$B$4,$R107))),3,0)+IF(Consulta!$B$6="Qualquer",0,IF($O107=Consulta!$B$6,2,-1))+IF(Consulta!$B$7="Não",0,IF($U107="Sim",3,IF($U107="Não",-6,0)))+IF(Consulta!$B$8="Qualquer",0,IF($C107=Consulta!$B$8,2,-3))+IF(Consulta!$B$9="Qualquer",0,IF($D107=Consulta!$B$9,2,-1))+IF($N107="",0,$N107)-ROW()/100000)))))</f>
        <v>7.99893</v>
      </c>
    </row>
    <row r="108" customFormat="false" ht="15" hidden="false" customHeight="false" outlineLevel="0" collapsed="false">
      <c r="A108" s="14" t="n">
        <v>11</v>
      </c>
      <c r="B108" s="15" t="s">
        <v>517</v>
      </c>
      <c r="C108" s="14" t="s">
        <v>169</v>
      </c>
      <c r="D108" s="14" t="s">
        <v>175</v>
      </c>
      <c r="E108" s="15" t="s">
        <v>518</v>
      </c>
      <c r="F108" s="14"/>
      <c r="G108" s="14" t="s">
        <v>519</v>
      </c>
      <c r="H108" s="14"/>
      <c r="I108" s="15"/>
      <c r="J108" s="14" t="s">
        <v>91</v>
      </c>
      <c r="K108" s="15" t="s">
        <v>520</v>
      </c>
      <c r="L108" s="16" t="s">
        <v>52</v>
      </c>
      <c r="M108" s="17"/>
      <c r="N108" s="16"/>
      <c r="O108" s="16"/>
      <c r="P108" s="18"/>
      <c r="Q108" s="16"/>
      <c r="R108" s="18"/>
      <c r="S108" s="16"/>
      <c r="T108" s="16"/>
      <c r="U108" s="16"/>
      <c r="V108" s="16"/>
      <c r="W108" s="16"/>
      <c r="X108" s="16"/>
      <c r="Y108" s="16"/>
      <c r="Z108" s="16"/>
      <c r="AA108" s="18"/>
      <c r="AB108" s="18"/>
      <c r="AC108" s="18"/>
      <c r="AD108" s="18"/>
      <c r="AE108" s="18"/>
      <c r="AF108" s="19" t="n">
        <f aca="false">IF($B108="","",IF(AND(Consulta!$B$11="Sim",$L108&lt;&gt;"Sim"),-9999,IF($H108=Consulta!$B$5,-9999,IF(AND(Consulta!$B$3&lt;&gt;"Qualquer",ISNUMBER(SEARCH(Consulta!$B$3,$AA108))),-9999,IF(AND(Consulta!$B$10="Sim",$V108&lt;&gt;"Sim"),-9999,IF(OR(Consulta!$B$3="Qualquer",ISNUMBER(SEARCH(Consulta!$B$3,$P108))),3,0)+IF(OR(Consulta!$B$12="Qualquer",ISNUMBER(SEARCH(Consulta!$B$12,$Q108))),2,0)+IF(OR(Consulta!$B$4="Qualquer",ISNUMBER(SEARCH(Consulta!$B$4,$R108))),3,0)+IF(Consulta!$B$6="Qualquer",0,IF($O108=Consulta!$B$6,2,-1))+IF(Consulta!$B$7="Não",0,IF($U108="Sim",3,IF($U108="Não",-6,0)))+IF(Consulta!$B$8="Qualquer",0,IF($C108=Consulta!$B$8,2,-3))+IF(Consulta!$B$9="Qualquer",0,IF($D108=Consulta!$B$9,2,-1))+IF($N108="",0,$N108)-ROW()/100000)))))</f>
        <v>7.99892</v>
      </c>
    </row>
    <row r="109" customFormat="false" ht="15" hidden="false" customHeight="false" outlineLevel="0" collapsed="false">
      <c r="A109" s="14" t="n">
        <v>11</v>
      </c>
      <c r="B109" s="15" t="s">
        <v>521</v>
      </c>
      <c r="C109" s="14" t="s">
        <v>167</v>
      </c>
      <c r="D109" s="14" t="s">
        <v>176</v>
      </c>
      <c r="E109" s="15" t="s">
        <v>522</v>
      </c>
      <c r="F109" s="14"/>
      <c r="G109" s="14"/>
      <c r="H109" s="14" t="s">
        <v>157</v>
      </c>
      <c r="I109" s="15"/>
      <c r="J109" s="14" t="s">
        <v>91</v>
      </c>
      <c r="K109" s="15" t="s">
        <v>523</v>
      </c>
      <c r="L109" s="16" t="s">
        <v>52</v>
      </c>
      <c r="M109" s="17"/>
      <c r="N109" s="16"/>
      <c r="O109" s="16"/>
      <c r="P109" s="18"/>
      <c r="Q109" s="16"/>
      <c r="R109" s="18"/>
      <c r="S109" s="16"/>
      <c r="T109" s="16"/>
      <c r="U109" s="16"/>
      <c r="V109" s="16"/>
      <c r="W109" s="16"/>
      <c r="X109" s="16"/>
      <c r="Y109" s="16"/>
      <c r="Z109" s="16"/>
      <c r="AA109" s="18"/>
      <c r="AB109" s="18"/>
      <c r="AC109" s="18"/>
      <c r="AD109" s="18"/>
      <c r="AE109" s="18"/>
      <c r="AF109" s="19" t="n">
        <f aca="false">IF($B109="","",IF(AND(Consulta!$B$11="Sim",$L109&lt;&gt;"Sim"),-9999,IF($H109=Consulta!$B$5,-9999,IF(AND(Consulta!$B$3&lt;&gt;"Qualquer",ISNUMBER(SEARCH(Consulta!$B$3,$AA109))),-9999,IF(AND(Consulta!$B$10="Sim",$V109&lt;&gt;"Sim"),-9999,IF(OR(Consulta!$B$3="Qualquer",ISNUMBER(SEARCH(Consulta!$B$3,$P109))),3,0)+IF(OR(Consulta!$B$12="Qualquer",ISNUMBER(SEARCH(Consulta!$B$12,$Q109))),2,0)+IF(OR(Consulta!$B$4="Qualquer",ISNUMBER(SEARCH(Consulta!$B$4,$R109))),3,0)+IF(Consulta!$B$6="Qualquer",0,IF($O109=Consulta!$B$6,2,-1))+IF(Consulta!$B$7="Não",0,IF($U109="Sim",3,IF($U109="Não",-6,0)))+IF(Consulta!$B$8="Qualquer",0,IF($C109=Consulta!$B$8,2,-3))+IF(Consulta!$B$9="Qualquer",0,IF($D109=Consulta!$B$9,2,-1))+IF($N109="",0,$N109)-ROW()/100000)))))</f>
        <v>7.99891</v>
      </c>
    </row>
    <row r="110" customFormat="false" ht="15" hidden="false" customHeight="false" outlineLevel="0" collapsed="false">
      <c r="A110" s="14" t="n">
        <v>11</v>
      </c>
      <c r="B110" s="15" t="s">
        <v>524</v>
      </c>
      <c r="C110" s="14" t="s">
        <v>169</v>
      </c>
      <c r="D110" s="14" t="s">
        <v>156</v>
      </c>
      <c r="E110" s="15" t="s">
        <v>374</v>
      </c>
      <c r="F110" s="14"/>
      <c r="G110" s="14"/>
      <c r="H110" s="14" t="s">
        <v>157</v>
      </c>
      <c r="I110" s="15"/>
      <c r="J110" s="14" t="s">
        <v>91</v>
      </c>
      <c r="K110" s="15" t="s">
        <v>525</v>
      </c>
      <c r="L110" s="16" t="s">
        <v>52</v>
      </c>
      <c r="M110" s="17"/>
      <c r="N110" s="16"/>
      <c r="O110" s="16"/>
      <c r="P110" s="18"/>
      <c r="Q110" s="16"/>
      <c r="R110" s="18"/>
      <c r="S110" s="16"/>
      <c r="T110" s="16"/>
      <c r="U110" s="16"/>
      <c r="V110" s="16"/>
      <c r="W110" s="16"/>
      <c r="X110" s="16"/>
      <c r="Y110" s="16"/>
      <c r="Z110" s="16"/>
      <c r="AA110" s="18"/>
      <c r="AB110" s="18"/>
      <c r="AC110" s="18"/>
      <c r="AD110" s="18"/>
      <c r="AE110" s="18"/>
      <c r="AF110" s="19" t="n">
        <f aca="false">IF($B110="","",IF(AND(Consulta!$B$11="Sim",$L110&lt;&gt;"Sim"),-9999,IF($H110=Consulta!$B$5,-9999,IF(AND(Consulta!$B$3&lt;&gt;"Qualquer",ISNUMBER(SEARCH(Consulta!$B$3,$AA110))),-9999,IF(AND(Consulta!$B$10="Sim",$V110&lt;&gt;"Sim"),-9999,IF(OR(Consulta!$B$3="Qualquer",ISNUMBER(SEARCH(Consulta!$B$3,$P110))),3,0)+IF(OR(Consulta!$B$12="Qualquer",ISNUMBER(SEARCH(Consulta!$B$12,$Q110))),2,0)+IF(OR(Consulta!$B$4="Qualquer",ISNUMBER(SEARCH(Consulta!$B$4,$R110))),3,0)+IF(Consulta!$B$6="Qualquer",0,IF($O110=Consulta!$B$6,2,-1))+IF(Consulta!$B$7="Não",0,IF($U110="Sim",3,IF($U110="Não",-6,0)))+IF(Consulta!$B$8="Qualquer",0,IF($C110=Consulta!$B$8,2,-3))+IF(Consulta!$B$9="Qualquer",0,IF($D110=Consulta!$B$9,2,-1))+IF($N110="",0,$N110)-ROW()/100000)))))</f>
        <v>7.9989</v>
      </c>
    </row>
    <row r="111" customFormat="false" ht="15" hidden="false" customHeight="false" outlineLevel="0" collapsed="false">
      <c r="A111" s="14" t="n">
        <v>12</v>
      </c>
      <c r="B111" s="15" t="s">
        <v>526</v>
      </c>
      <c r="C111" s="14" t="s">
        <v>161</v>
      </c>
      <c r="D111" s="14" t="s">
        <v>178</v>
      </c>
      <c r="E111" s="15" t="s">
        <v>527</v>
      </c>
      <c r="F111" s="14"/>
      <c r="G111" s="14" t="s">
        <v>528</v>
      </c>
      <c r="H111" s="14" t="s">
        <v>157</v>
      </c>
      <c r="I111" s="15"/>
      <c r="J111" s="14" t="s">
        <v>102</v>
      </c>
      <c r="K111" s="15" t="s">
        <v>529</v>
      </c>
      <c r="L111" s="16" t="s">
        <v>52</v>
      </c>
      <c r="M111" s="17"/>
      <c r="N111" s="16"/>
      <c r="O111" s="16"/>
      <c r="P111" s="18"/>
      <c r="Q111" s="16"/>
      <c r="R111" s="18"/>
      <c r="S111" s="16"/>
      <c r="T111" s="16"/>
      <c r="U111" s="16"/>
      <c r="V111" s="16"/>
      <c r="W111" s="16"/>
      <c r="X111" s="16"/>
      <c r="Y111" s="16"/>
      <c r="Z111" s="16"/>
      <c r="AA111" s="18"/>
      <c r="AB111" s="18"/>
      <c r="AC111" s="18"/>
      <c r="AD111" s="18"/>
      <c r="AE111" s="18"/>
      <c r="AF111" s="19" t="n">
        <f aca="false">IF($B111="","",IF(AND(Consulta!$B$11="Sim",$L111&lt;&gt;"Sim"),-9999,IF($H111=Consulta!$B$5,-9999,IF(AND(Consulta!$B$3&lt;&gt;"Qualquer",ISNUMBER(SEARCH(Consulta!$B$3,$AA111))),-9999,IF(AND(Consulta!$B$10="Sim",$V111&lt;&gt;"Sim"),-9999,IF(OR(Consulta!$B$3="Qualquer",ISNUMBER(SEARCH(Consulta!$B$3,$P111))),3,0)+IF(OR(Consulta!$B$12="Qualquer",ISNUMBER(SEARCH(Consulta!$B$12,$Q111))),2,0)+IF(OR(Consulta!$B$4="Qualquer",ISNUMBER(SEARCH(Consulta!$B$4,$R111))),3,0)+IF(Consulta!$B$6="Qualquer",0,IF($O111=Consulta!$B$6,2,-1))+IF(Consulta!$B$7="Não",0,IF($U111="Sim",3,IF($U111="Não",-6,0)))+IF(Consulta!$B$8="Qualquer",0,IF($C111=Consulta!$B$8,2,-3))+IF(Consulta!$B$9="Qualquer",0,IF($D111=Consulta!$B$9,2,-1))+IF($N111="",0,$N111)-ROW()/100000)))))</f>
        <v>7.99889</v>
      </c>
    </row>
    <row r="112" customFormat="false" ht="15" hidden="false" customHeight="false" outlineLevel="0" collapsed="false">
      <c r="A112" s="14" t="n">
        <v>12</v>
      </c>
      <c r="B112" s="15" t="s">
        <v>530</v>
      </c>
      <c r="C112" s="14" t="s">
        <v>161</v>
      </c>
      <c r="D112" s="14" t="s">
        <v>112</v>
      </c>
      <c r="E112" s="15" t="s">
        <v>531</v>
      </c>
      <c r="F112" s="14"/>
      <c r="G112" s="14" t="s">
        <v>532</v>
      </c>
      <c r="H112" s="14" t="s">
        <v>157</v>
      </c>
      <c r="I112" s="15"/>
      <c r="J112" s="14" t="s">
        <v>102</v>
      </c>
      <c r="K112" s="15" t="s">
        <v>533</v>
      </c>
      <c r="L112" s="16" t="s">
        <v>52</v>
      </c>
      <c r="M112" s="17"/>
      <c r="N112" s="16"/>
      <c r="O112" s="16"/>
      <c r="P112" s="18"/>
      <c r="Q112" s="16"/>
      <c r="R112" s="18"/>
      <c r="S112" s="16"/>
      <c r="T112" s="16"/>
      <c r="U112" s="16"/>
      <c r="V112" s="16"/>
      <c r="W112" s="16"/>
      <c r="X112" s="16"/>
      <c r="Y112" s="16"/>
      <c r="Z112" s="16"/>
      <c r="AA112" s="18"/>
      <c r="AB112" s="18"/>
      <c r="AC112" s="18"/>
      <c r="AD112" s="18"/>
      <c r="AE112" s="18"/>
      <c r="AF112" s="19" t="n">
        <f aca="false">IF($B112="","",IF(AND(Consulta!$B$11="Sim",$L112&lt;&gt;"Sim"),-9999,IF($H112=Consulta!$B$5,-9999,IF(AND(Consulta!$B$3&lt;&gt;"Qualquer",ISNUMBER(SEARCH(Consulta!$B$3,$AA112))),-9999,IF(AND(Consulta!$B$10="Sim",$V112&lt;&gt;"Sim"),-9999,IF(OR(Consulta!$B$3="Qualquer",ISNUMBER(SEARCH(Consulta!$B$3,$P112))),3,0)+IF(OR(Consulta!$B$12="Qualquer",ISNUMBER(SEARCH(Consulta!$B$12,$Q112))),2,0)+IF(OR(Consulta!$B$4="Qualquer",ISNUMBER(SEARCH(Consulta!$B$4,$R112))),3,0)+IF(Consulta!$B$6="Qualquer",0,IF($O112=Consulta!$B$6,2,-1))+IF(Consulta!$B$7="Não",0,IF($U112="Sim",3,IF($U112="Não",-6,0)))+IF(Consulta!$B$8="Qualquer",0,IF($C112=Consulta!$B$8,2,-3))+IF(Consulta!$B$9="Qualquer",0,IF($D112=Consulta!$B$9,2,-1))+IF($N112="",0,$N112)-ROW()/100000)))))</f>
        <v>7.99888</v>
      </c>
    </row>
    <row r="113" customFormat="false" ht="15" hidden="false" customHeight="false" outlineLevel="0" collapsed="false">
      <c r="A113" s="14" t="n">
        <v>12</v>
      </c>
      <c r="B113" s="15" t="s">
        <v>534</v>
      </c>
      <c r="C113" s="14" t="s">
        <v>161</v>
      </c>
      <c r="D113" s="14" t="s">
        <v>174</v>
      </c>
      <c r="E113" s="15" t="s">
        <v>535</v>
      </c>
      <c r="F113" s="14"/>
      <c r="G113" s="14" t="s">
        <v>536</v>
      </c>
      <c r="H113" s="14" t="s">
        <v>157</v>
      </c>
      <c r="I113" s="15"/>
      <c r="J113" s="14" t="s">
        <v>102</v>
      </c>
      <c r="K113" s="15" t="s">
        <v>537</v>
      </c>
      <c r="L113" s="16" t="s">
        <v>52</v>
      </c>
      <c r="M113" s="17"/>
      <c r="N113" s="16"/>
      <c r="O113" s="16"/>
      <c r="P113" s="18"/>
      <c r="Q113" s="16"/>
      <c r="R113" s="18"/>
      <c r="S113" s="16"/>
      <c r="T113" s="16"/>
      <c r="U113" s="16"/>
      <c r="V113" s="16"/>
      <c r="W113" s="16"/>
      <c r="X113" s="16"/>
      <c r="Y113" s="16"/>
      <c r="Z113" s="16"/>
      <c r="AA113" s="18"/>
      <c r="AB113" s="18"/>
      <c r="AC113" s="18"/>
      <c r="AD113" s="18"/>
      <c r="AE113" s="18"/>
      <c r="AF113" s="19" t="n">
        <f aca="false">IF($B113="","",IF(AND(Consulta!$B$11="Sim",$L113&lt;&gt;"Sim"),-9999,IF($H113=Consulta!$B$5,-9999,IF(AND(Consulta!$B$3&lt;&gt;"Qualquer",ISNUMBER(SEARCH(Consulta!$B$3,$AA113))),-9999,IF(AND(Consulta!$B$10="Sim",$V113&lt;&gt;"Sim"),-9999,IF(OR(Consulta!$B$3="Qualquer",ISNUMBER(SEARCH(Consulta!$B$3,$P113))),3,0)+IF(OR(Consulta!$B$12="Qualquer",ISNUMBER(SEARCH(Consulta!$B$12,$Q113))),2,0)+IF(OR(Consulta!$B$4="Qualquer",ISNUMBER(SEARCH(Consulta!$B$4,$R113))),3,0)+IF(Consulta!$B$6="Qualquer",0,IF($O113=Consulta!$B$6,2,-1))+IF(Consulta!$B$7="Não",0,IF($U113="Sim",3,IF($U113="Não",-6,0)))+IF(Consulta!$B$8="Qualquer",0,IF($C113=Consulta!$B$8,2,-3))+IF(Consulta!$B$9="Qualquer",0,IF($D113=Consulta!$B$9,2,-1))+IF($N113="",0,$N113)-ROW()/100000)))))</f>
        <v>7.99887</v>
      </c>
    </row>
    <row r="114" customFormat="false" ht="15" hidden="false" customHeight="false" outlineLevel="0" collapsed="false">
      <c r="A114" s="14" t="n">
        <v>12</v>
      </c>
      <c r="B114" s="15" t="s">
        <v>538</v>
      </c>
      <c r="C114" s="14" t="s">
        <v>158</v>
      </c>
      <c r="D114" s="14" t="s">
        <v>181</v>
      </c>
      <c r="E114" s="15" t="s">
        <v>539</v>
      </c>
      <c r="F114" s="14"/>
      <c r="G114" s="14" t="s">
        <v>540</v>
      </c>
      <c r="H114" s="14" t="s">
        <v>157</v>
      </c>
      <c r="I114" s="15"/>
      <c r="J114" s="14" t="s">
        <v>114</v>
      </c>
      <c r="K114" s="15" t="s">
        <v>330</v>
      </c>
      <c r="L114" s="16" t="s">
        <v>52</v>
      </c>
      <c r="M114" s="17"/>
      <c r="N114" s="16"/>
      <c r="O114" s="16"/>
      <c r="P114" s="18"/>
      <c r="Q114" s="16"/>
      <c r="R114" s="18"/>
      <c r="S114" s="16"/>
      <c r="T114" s="16"/>
      <c r="U114" s="16"/>
      <c r="V114" s="16"/>
      <c r="W114" s="16"/>
      <c r="X114" s="16"/>
      <c r="Y114" s="16"/>
      <c r="Z114" s="16"/>
      <c r="AA114" s="18"/>
      <c r="AB114" s="18"/>
      <c r="AC114" s="18"/>
      <c r="AD114" s="18"/>
      <c r="AE114" s="18"/>
      <c r="AF114" s="19" t="n">
        <f aca="false">IF($B114="","",IF(AND(Consulta!$B$11="Sim",$L114&lt;&gt;"Sim"),-9999,IF($H114=Consulta!$B$5,-9999,IF(AND(Consulta!$B$3&lt;&gt;"Qualquer",ISNUMBER(SEARCH(Consulta!$B$3,$AA114))),-9999,IF(AND(Consulta!$B$10="Sim",$V114&lt;&gt;"Sim"),-9999,IF(OR(Consulta!$B$3="Qualquer",ISNUMBER(SEARCH(Consulta!$B$3,$P114))),3,0)+IF(OR(Consulta!$B$12="Qualquer",ISNUMBER(SEARCH(Consulta!$B$12,$Q114))),2,0)+IF(OR(Consulta!$B$4="Qualquer",ISNUMBER(SEARCH(Consulta!$B$4,$R114))),3,0)+IF(Consulta!$B$6="Qualquer",0,IF($O114=Consulta!$B$6,2,-1))+IF(Consulta!$B$7="Não",0,IF($U114="Sim",3,IF($U114="Não",-6,0)))+IF(Consulta!$B$8="Qualquer",0,IF($C114=Consulta!$B$8,2,-3))+IF(Consulta!$B$9="Qualquer",0,IF($D114=Consulta!$B$9,2,-1))+IF($N114="",0,$N114)-ROW()/100000)))))</f>
        <v>7.99886</v>
      </c>
    </row>
    <row r="115" customFormat="false" ht="15" hidden="false" customHeight="false" outlineLevel="0" collapsed="false">
      <c r="A115" s="14" t="n">
        <v>12</v>
      </c>
      <c r="B115" s="15" t="s">
        <v>541</v>
      </c>
      <c r="C115" s="14" t="s">
        <v>143</v>
      </c>
      <c r="D115" s="14" t="s">
        <v>112</v>
      </c>
      <c r="E115" s="15" t="s">
        <v>269</v>
      </c>
      <c r="F115" s="14" t="s">
        <v>270</v>
      </c>
      <c r="G115" s="14" t="s">
        <v>271</v>
      </c>
      <c r="H115" s="14"/>
      <c r="I115" s="15"/>
      <c r="J115" s="14" t="s">
        <v>114</v>
      </c>
      <c r="K115" s="15" t="s">
        <v>261</v>
      </c>
      <c r="L115" s="16" t="s">
        <v>52</v>
      </c>
      <c r="M115" s="17"/>
      <c r="N115" s="16"/>
      <c r="O115" s="16"/>
      <c r="P115" s="18"/>
      <c r="Q115" s="16"/>
      <c r="R115" s="18"/>
      <c r="S115" s="16"/>
      <c r="T115" s="16"/>
      <c r="U115" s="16"/>
      <c r="V115" s="16"/>
      <c r="W115" s="16"/>
      <c r="X115" s="16"/>
      <c r="Y115" s="16"/>
      <c r="Z115" s="16"/>
      <c r="AA115" s="18"/>
      <c r="AB115" s="18"/>
      <c r="AC115" s="18"/>
      <c r="AD115" s="18"/>
      <c r="AE115" s="18"/>
      <c r="AF115" s="19" t="n">
        <f aca="false">IF($B115="","",IF(AND(Consulta!$B$11="Sim",$L115&lt;&gt;"Sim"),-9999,IF($H115=Consulta!$B$5,-9999,IF(AND(Consulta!$B$3&lt;&gt;"Qualquer",ISNUMBER(SEARCH(Consulta!$B$3,$AA115))),-9999,IF(AND(Consulta!$B$10="Sim",$V115&lt;&gt;"Sim"),-9999,IF(OR(Consulta!$B$3="Qualquer",ISNUMBER(SEARCH(Consulta!$B$3,$P115))),3,0)+IF(OR(Consulta!$B$12="Qualquer",ISNUMBER(SEARCH(Consulta!$B$12,$Q115))),2,0)+IF(OR(Consulta!$B$4="Qualquer",ISNUMBER(SEARCH(Consulta!$B$4,$R115))),3,0)+IF(Consulta!$B$6="Qualquer",0,IF($O115=Consulta!$B$6,2,-1))+IF(Consulta!$B$7="Não",0,IF($U115="Sim",3,IF($U115="Não",-6,0)))+IF(Consulta!$B$8="Qualquer",0,IF($C115=Consulta!$B$8,2,-3))+IF(Consulta!$B$9="Qualquer",0,IF($D115=Consulta!$B$9,2,-1))+IF($N115="",0,$N115)-ROW()/100000)))))</f>
        <v>7.99885</v>
      </c>
    </row>
    <row r="116" customFormat="false" ht="15" hidden="false" customHeight="false" outlineLevel="0" collapsed="false">
      <c r="A116" s="14" t="n">
        <v>12</v>
      </c>
      <c r="B116" s="15" t="s">
        <v>542</v>
      </c>
      <c r="C116" s="14" t="s">
        <v>143</v>
      </c>
      <c r="D116" s="14" t="s">
        <v>112</v>
      </c>
      <c r="E116" s="15" t="s">
        <v>543</v>
      </c>
      <c r="F116" s="14" t="s">
        <v>544</v>
      </c>
      <c r="G116" s="14" t="s">
        <v>275</v>
      </c>
      <c r="H116" s="14"/>
      <c r="I116" s="15"/>
      <c r="J116" s="14" t="s">
        <v>114</v>
      </c>
      <c r="K116" s="15" t="s">
        <v>261</v>
      </c>
      <c r="L116" s="16" t="s">
        <v>52</v>
      </c>
      <c r="M116" s="17"/>
      <c r="N116" s="16"/>
      <c r="O116" s="16"/>
      <c r="P116" s="18"/>
      <c r="Q116" s="16"/>
      <c r="R116" s="18"/>
      <c r="S116" s="16"/>
      <c r="T116" s="16"/>
      <c r="U116" s="16"/>
      <c r="V116" s="16"/>
      <c r="W116" s="16"/>
      <c r="X116" s="16"/>
      <c r="Y116" s="16"/>
      <c r="Z116" s="16"/>
      <c r="AA116" s="18"/>
      <c r="AB116" s="18"/>
      <c r="AC116" s="18"/>
      <c r="AD116" s="18"/>
      <c r="AE116" s="18"/>
      <c r="AF116" s="19" t="n">
        <f aca="false">IF($B116="","",IF(AND(Consulta!$B$11="Sim",$L116&lt;&gt;"Sim"),-9999,IF($H116=Consulta!$B$5,-9999,IF(AND(Consulta!$B$3&lt;&gt;"Qualquer",ISNUMBER(SEARCH(Consulta!$B$3,$AA116))),-9999,IF(AND(Consulta!$B$10="Sim",$V116&lt;&gt;"Sim"),-9999,IF(OR(Consulta!$B$3="Qualquer",ISNUMBER(SEARCH(Consulta!$B$3,$P116))),3,0)+IF(OR(Consulta!$B$12="Qualquer",ISNUMBER(SEARCH(Consulta!$B$12,$Q116))),2,0)+IF(OR(Consulta!$B$4="Qualquer",ISNUMBER(SEARCH(Consulta!$B$4,$R116))),3,0)+IF(Consulta!$B$6="Qualquer",0,IF($O116=Consulta!$B$6,2,-1))+IF(Consulta!$B$7="Não",0,IF($U116="Sim",3,IF($U116="Não",-6,0)))+IF(Consulta!$B$8="Qualquer",0,IF($C116=Consulta!$B$8,2,-3))+IF(Consulta!$B$9="Qualquer",0,IF($D116=Consulta!$B$9,2,-1))+IF($N116="",0,$N116)-ROW()/100000)))))</f>
        <v>7.99884</v>
      </c>
    </row>
    <row r="117" customFormat="false" ht="15" hidden="false" customHeight="false" outlineLevel="0" collapsed="false">
      <c r="A117" s="14" t="n">
        <v>12</v>
      </c>
      <c r="B117" s="15" t="s">
        <v>545</v>
      </c>
      <c r="C117" s="14" t="s">
        <v>169</v>
      </c>
      <c r="D117" s="14" t="s">
        <v>181</v>
      </c>
      <c r="E117" s="15" t="s">
        <v>546</v>
      </c>
      <c r="F117" s="14"/>
      <c r="G117" s="14"/>
      <c r="H117" s="14" t="s">
        <v>157</v>
      </c>
      <c r="I117" s="15"/>
      <c r="J117" s="14" t="s">
        <v>91</v>
      </c>
      <c r="K117" s="15" t="s">
        <v>330</v>
      </c>
      <c r="L117" s="16" t="s">
        <v>52</v>
      </c>
      <c r="M117" s="17"/>
      <c r="N117" s="16"/>
      <c r="O117" s="16"/>
      <c r="P117" s="18"/>
      <c r="Q117" s="16"/>
      <c r="R117" s="18"/>
      <c r="S117" s="16"/>
      <c r="T117" s="16"/>
      <c r="U117" s="16"/>
      <c r="V117" s="16"/>
      <c r="W117" s="16"/>
      <c r="X117" s="16"/>
      <c r="Y117" s="16"/>
      <c r="Z117" s="16"/>
      <c r="AA117" s="18"/>
      <c r="AB117" s="18"/>
      <c r="AC117" s="18"/>
      <c r="AD117" s="18"/>
      <c r="AE117" s="18"/>
      <c r="AF117" s="19" t="n">
        <f aca="false">IF($B117="","",IF(AND(Consulta!$B$11="Sim",$L117&lt;&gt;"Sim"),-9999,IF($H117=Consulta!$B$5,-9999,IF(AND(Consulta!$B$3&lt;&gt;"Qualquer",ISNUMBER(SEARCH(Consulta!$B$3,$AA117))),-9999,IF(AND(Consulta!$B$10="Sim",$V117&lt;&gt;"Sim"),-9999,IF(OR(Consulta!$B$3="Qualquer",ISNUMBER(SEARCH(Consulta!$B$3,$P117))),3,0)+IF(OR(Consulta!$B$12="Qualquer",ISNUMBER(SEARCH(Consulta!$B$12,$Q117))),2,0)+IF(OR(Consulta!$B$4="Qualquer",ISNUMBER(SEARCH(Consulta!$B$4,$R117))),3,0)+IF(Consulta!$B$6="Qualquer",0,IF($O117=Consulta!$B$6,2,-1))+IF(Consulta!$B$7="Não",0,IF($U117="Sim",3,IF($U117="Não",-6,0)))+IF(Consulta!$B$8="Qualquer",0,IF($C117=Consulta!$B$8,2,-3))+IF(Consulta!$B$9="Qualquer",0,IF($D117=Consulta!$B$9,2,-1))+IF($N117="",0,$N117)-ROW()/100000)))))</f>
        <v>7.99883</v>
      </c>
    </row>
    <row r="118" customFormat="false" ht="15" hidden="false" customHeight="false" outlineLevel="0" collapsed="false">
      <c r="A118" s="14" t="n">
        <v>12</v>
      </c>
      <c r="B118" s="15" t="s">
        <v>547</v>
      </c>
      <c r="C118" s="14" t="s">
        <v>165</v>
      </c>
      <c r="D118" s="14" t="s">
        <v>136</v>
      </c>
      <c r="E118" s="15" t="s">
        <v>548</v>
      </c>
      <c r="F118" s="14"/>
      <c r="G118" s="14" t="s">
        <v>549</v>
      </c>
      <c r="H118" s="14" t="s">
        <v>157</v>
      </c>
      <c r="I118" s="15"/>
      <c r="J118" s="14" t="s">
        <v>91</v>
      </c>
      <c r="K118" s="15" t="s">
        <v>485</v>
      </c>
      <c r="L118" s="16" t="s">
        <v>52</v>
      </c>
      <c r="M118" s="17"/>
      <c r="N118" s="16"/>
      <c r="O118" s="16"/>
      <c r="P118" s="18"/>
      <c r="Q118" s="16"/>
      <c r="R118" s="18"/>
      <c r="S118" s="16"/>
      <c r="T118" s="16"/>
      <c r="U118" s="16"/>
      <c r="V118" s="16"/>
      <c r="W118" s="16"/>
      <c r="X118" s="16"/>
      <c r="Y118" s="16"/>
      <c r="Z118" s="16"/>
      <c r="AA118" s="18"/>
      <c r="AB118" s="18"/>
      <c r="AC118" s="18"/>
      <c r="AD118" s="18"/>
      <c r="AE118" s="18"/>
      <c r="AF118" s="19" t="n">
        <f aca="false">IF($B118="","",IF(AND(Consulta!$B$11="Sim",$L118&lt;&gt;"Sim"),-9999,IF($H118=Consulta!$B$5,-9999,IF(AND(Consulta!$B$3&lt;&gt;"Qualquer",ISNUMBER(SEARCH(Consulta!$B$3,$AA118))),-9999,IF(AND(Consulta!$B$10="Sim",$V118&lt;&gt;"Sim"),-9999,IF(OR(Consulta!$B$3="Qualquer",ISNUMBER(SEARCH(Consulta!$B$3,$P118))),3,0)+IF(OR(Consulta!$B$12="Qualquer",ISNUMBER(SEARCH(Consulta!$B$12,$Q118))),2,0)+IF(OR(Consulta!$B$4="Qualquer",ISNUMBER(SEARCH(Consulta!$B$4,$R118))),3,0)+IF(Consulta!$B$6="Qualquer",0,IF($O118=Consulta!$B$6,2,-1))+IF(Consulta!$B$7="Não",0,IF($U118="Sim",3,IF($U118="Não",-6,0)))+IF(Consulta!$B$8="Qualquer",0,IF($C118=Consulta!$B$8,2,-3))+IF(Consulta!$B$9="Qualquer",0,IF($D118=Consulta!$B$9,2,-1))+IF($N118="",0,$N118)-ROW()/100000)))))</f>
        <v>7.99882</v>
      </c>
    </row>
    <row r="119" customFormat="false" ht="15" hidden="false" customHeight="false" outlineLevel="0" collapsed="false">
      <c r="A119" s="14" t="n">
        <v>12</v>
      </c>
      <c r="B119" s="15" t="s">
        <v>550</v>
      </c>
      <c r="C119" s="14" t="s">
        <v>165</v>
      </c>
      <c r="D119" s="14" t="s">
        <v>170</v>
      </c>
      <c r="E119" s="15" t="s">
        <v>551</v>
      </c>
      <c r="F119" s="14"/>
      <c r="G119" s="14" t="s">
        <v>552</v>
      </c>
      <c r="H119" s="14" t="s">
        <v>157</v>
      </c>
      <c r="I119" s="15"/>
      <c r="J119" s="14" t="s">
        <v>91</v>
      </c>
      <c r="K119" s="15" t="s">
        <v>497</v>
      </c>
      <c r="L119" s="16" t="s">
        <v>52</v>
      </c>
      <c r="M119" s="17"/>
      <c r="N119" s="16"/>
      <c r="O119" s="16"/>
      <c r="P119" s="18"/>
      <c r="Q119" s="16"/>
      <c r="R119" s="18"/>
      <c r="S119" s="16"/>
      <c r="T119" s="16"/>
      <c r="U119" s="16"/>
      <c r="V119" s="16"/>
      <c r="W119" s="16"/>
      <c r="X119" s="16"/>
      <c r="Y119" s="16"/>
      <c r="Z119" s="16"/>
      <c r="AA119" s="18"/>
      <c r="AB119" s="18"/>
      <c r="AC119" s="18"/>
      <c r="AD119" s="18"/>
      <c r="AE119" s="18"/>
      <c r="AF119" s="19" t="n">
        <f aca="false">IF($B119="","",IF(AND(Consulta!$B$11="Sim",$L119&lt;&gt;"Sim"),-9999,IF($H119=Consulta!$B$5,-9999,IF(AND(Consulta!$B$3&lt;&gt;"Qualquer",ISNUMBER(SEARCH(Consulta!$B$3,$AA119))),-9999,IF(AND(Consulta!$B$10="Sim",$V119&lt;&gt;"Sim"),-9999,IF(OR(Consulta!$B$3="Qualquer",ISNUMBER(SEARCH(Consulta!$B$3,$P119))),3,0)+IF(OR(Consulta!$B$12="Qualquer",ISNUMBER(SEARCH(Consulta!$B$12,$Q119))),2,0)+IF(OR(Consulta!$B$4="Qualquer",ISNUMBER(SEARCH(Consulta!$B$4,$R119))),3,0)+IF(Consulta!$B$6="Qualquer",0,IF($O119=Consulta!$B$6,2,-1))+IF(Consulta!$B$7="Não",0,IF($U119="Sim",3,IF($U119="Não",-6,0)))+IF(Consulta!$B$8="Qualquer",0,IF($C119=Consulta!$B$8,2,-3))+IF(Consulta!$B$9="Qualquer",0,IF($D119=Consulta!$B$9,2,-1))+IF($N119="",0,$N119)-ROW()/100000)))))</f>
        <v>7.99881</v>
      </c>
    </row>
    <row r="120" customFormat="false" ht="15" hidden="false" customHeight="false" outlineLevel="0" collapsed="false">
      <c r="A120" s="14" t="n">
        <v>12</v>
      </c>
      <c r="B120" s="15" t="s">
        <v>553</v>
      </c>
      <c r="C120" s="14" t="s">
        <v>169</v>
      </c>
      <c r="D120" s="14" t="s">
        <v>168</v>
      </c>
      <c r="E120" s="15" t="s">
        <v>554</v>
      </c>
      <c r="F120" s="14"/>
      <c r="G120" s="14"/>
      <c r="H120" s="14"/>
      <c r="I120" s="15" t="s">
        <v>555</v>
      </c>
      <c r="J120" s="14" t="s">
        <v>114</v>
      </c>
      <c r="K120" s="15" t="s">
        <v>556</v>
      </c>
      <c r="L120" s="16" t="s">
        <v>52</v>
      </c>
      <c r="M120" s="17"/>
      <c r="N120" s="16"/>
      <c r="O120" s="16"/>
      <c r="P120" s="18"/>
      <c r="Q120" s="16"/>
      <c r="R120" s="18"/>
      <c r="S120" s="16"/>
      <c r="T120" s="16"/>
      <c r="U120" s="16"/>
      <c r="V120" s="16"/>
      <c r="W120" s="16"/>
      <c r="X120" s="16"/>
      <c r="Y120" s="16"/>
      <c r="Z120" s="16"/>
      <c r="AA120" s="18"/>
      <c r="AB120" s="18"/>
      <c r="AC120" s="18"/>
      <c r="AD120" s="18"/>
      <c r="AE120" s="18"/>
      <c r="AF120" s="19" t="n">
        <f aca="false">IF($B120="","",IF(AND(Consulta!$B$11="Sim",$L120&lt;&gt;"Sim"),-9999,IF($H120=Consulta!$B$5,-9999,IF(AND(Consulta!$B$3&lt;&gt;"Qualquer",ISNUMBER(SEARCH(Consulta!$B$3,$AA120))),-9999,IF(AND(Consulta!$B$10="Sim",$V120&lt;&gt;"Sim"),-9999,IF(OR(Consulta!$B$3="Qualquer",ISNUMBER(SEARCH(Consulta!$B$3,$P120))),3,0)+IF(OR(Consulta!$B$12="Qualquer",ISNUMBER(SEARCH(Consulta!$B$12,$Q120))),2,0)+IF(OR(Consulta!$B$4="Qualquer",ISNUMBER(SEARCH(Consulta!$B$4,$R120))),3,0)+IF(Consulta!$B$6="Qualquer",0,IF($O120=Consulta!$B$6,2,-1))+IF(Consulta!$B$7="Não",0,IF($U120="Sim",3,IF($U120="Não",-6,0)))+IF(Consulta!$B$8="Qualquer",0,IF($C120=Consulta!$B$8,2,-3))+IF(Consulta!$B$9="Qualquer",0,IF($D120=Consulta!$B$9,2,-1))+IF($N120="",0,$N120)-ROW()/100000)))))</f>
        <v>7.9988</v>
      </c>
    </row>
    <row r="121" customFormat="false" ht="15" hidden="false" customHeight="false" outlineLevel="0" collapsed="false">
      <c r="A121" s="14" t="n">
        <v>13</v>
      </c>
      <c r="B121" s="15" t="s">
        <v>557</v>
      </c>
      <c r="C121" s="14" t="s">
        <v>171</v>
      </c>
      <c r="D121" s="14" t="s">
        <v>174</v>
      </c>
      <c r="E121" s="15" t="s">
        <v>558</v>
      </c>
      <c r="F121" s="14" t="s">
        <v>559</v>
      </c>
      <c r="G121" s="14"/>
      <c r="H121" s="14" t="s">
        <v>157</v>
      </c>
      <c r="I121" s="15" t="s">
        <v>560</v>
      </c>
      <c r="J121" s="14" t="s">
        <v>91</v>
      </c>
      <c r="K121" s="15" t="s">
        <v>561</v>
      </c>
      <c r="L121" s="16" t="s">
        <v>52</v>
      </c>
      <c r="M121" s="17"/>
      <c r="N121" s="16"/>
      <c r="O121" s="16"/>
      <c r="P121" s="18"/>
      <c r="Q121" s="16"/>
      <c r="R121" s="18"/>
      <c r="S121" s="16"/>
      <c r="T121" s="16"/>
      <c r="U121" s="16"/>
      <c r="V121" s="16"/>
      <c r="W121" s="16"/>
      <c r="X121" s="16"/>
      <c r="Y121" s="16"/>
      <c r="Z121" s="16"/>
      <c r="AA121" s="18"/>
      <c r="AB121" s="18"/>
      <c r="AC121" s="18"/>
      <c r="AD121" s="18"/>
      <c r="AE121" s="18"/>
      <c r="AF121" s="19" t="n">
        <f aca="false">IF($B121="","",IF(AND(Consulta!$B$11="Sim",$L121&lt;&gt;"Sim"),-9999,IF($H121=Consulta!$B$5,-9999,IF(AND(Consulta!$B$3&lt;&gt;"Qualquer",ISNUMBER(SEARCH(Consulta!$B$3,$AA121))),-9999,IF(AND(Consulta!$B$10="Sim",$V121&lt;&gt;"Sim"),-9999,IF(OR(Consulta!$B$3="Qualquer",ISNUMBER(SEARCH(Consulta!$B$3,$P121))),3,0)+IF(OR(Consulta!$B$12="Qualquer",ISNUMBER(SEARCH(Consulta!$B$12,$Q121))),2,0)+IF(OR(Consulta!$B$4="Qualquer",ISNUMBER(SEARCH(Consulta!$B$4,$R121))),3,0)+IF(Consulta!$B$6="Qualquer",0,IF($O121=Consulta!$B$6,2,-1))+IF(Consulta!$B$7="Não",0,IF($U121="Sim",3,IF($U121="Não",-6,0)))+IF(Consulta!$B$8="Qualquer",0,IF($C121=Consulta!$B$8,2,-3))+IF(Consulta!$B$9="Qualquer",0,IF($D121=Consulta!$B$9,2,-1))+IF($N121="",0,$N121)-ROW()/100000)))))</f>
        <v>7.99879</v>
      </c>
    </row>
    <row r="122" customFormat="false" ht="15" hidden="false" customHeight="false" outlineLevel="0" collapsed="false">
      <c r="A122" s="14" t="n">
        <v>13</v>
      </c>
      <c r="B122" s="15" t="s">
        <v>562</v>
      </c>
      <c r="C122" s="14" t="s">
        <v>171</v>
      </c>
      <c r="D122" s="14" t="s">
        <v>124</v>
      </c>
      <c r="E122" s="15" t="s">
        <v>563</v>
      </c>
      <c r="F122" s="14" t="s">
        <v>564</v>
      </c>
      <c r="G122" s="14"/>
      <c r="H122" s="14" t="s">
        <v>157</v>
      </c>
      <c r="I122" s="15" t="s">
        <v>560</v>
      </c>
      <c r="J122" s="14" t="s">
        <v>91</v>
      </c>
      <c r="K122" s="15" t="s">
        <v>379</v>
      </c>
      <c r="L122" s="16" t="s">
        <v>52</v>
      </c>
      <c r="M122" s="17"/>
      <c r="N122" s="16"/>
      <c r="O122" s="16"/>
      <c r="P122" s="18"/>
      <c r="Q122" s="16"/>
      <c r="R122" s="18"/>
      <c r="S122" s="16"/>
      <c r="T122" s="16"/>
      <c r="U122" s="16"/>
      <c r="V122" s="16"/>
      <c r="W122" s="16"/>
      <c r="X122" s="16"/>
      <c r="Y122" s="16"/>
      <c r="Z122" s="16"/>
      <c r="AA122" s="18"/>
      <c r="AB122" s="18"/>
      <c r="AC122" s="18"/>
      <c r="AD122" s="18"/>
      <c r="AE122" s="18"/>
      <c r="AF122" s="19" t="n">
        <f aca="false">IF($B122="","",IF(AND(Consulta!$B$11="Sim",$L122&lt;&gt;"Sim"),-9999,IF($H122=Consulta!$B$5,-9999,IF(AND(Consulta!$B$3&lt;&gt;"Qualquer",ISNUMBER(SEARCH(Consulta!$B$3,$AA122))),-9999,IF(AND(Consulta!$B$10="Sim",$V122&lt;&gt;"Sim"),-9999,IF(OR(Consulta!$B$3="Qualquer",ISNUMBER(SEARCH(Consulta!$B$3,$P122))),3,0)+IF(OR(Consulta!$B$12="Qualquer",ISNUMBER(SEARCH(Consulta!$B$12,$Q122))),2,0)+IF(OR(Consulta!$B$4="Qualquer",ISNUMBER(SEARCH(Consulta!$B$4,$R122))),3,0)+IF(Consulta!$B$6="Qualquer",0,IF($O122=Consulta!$B$6,2,-1))+IF(Consulta!$B$7="Não",0,IF($U122="Sim",3,IF($U122="Não",-6,0)))+IF(Consulta!$B$8="Qualquer",0,IF($C122=Consulta!$B$8,2,-3))+IF(Consulta!$B$9="Qualquer",0,IF($D122=Consulta!$B$9,2,-1))+IF($N122="",0,$N122)-ROW()/100000)))))</f>
        <v>7.99878</v>
      </c>
    </row>
    <row r="123" customFormat="false" ht="15" hidden="false" customHeight="false" outlineLevel="0" collapsed="false">
      <c r="A123" s="14" t="n">
        <v>13</v>
      </c>
      <c r="B123" s="15" t="s">
        <v>565</v>
      </c>
      <c r="C123" s="14" t="s">
        <v>171</v>
      </c>
      <c r="D123" s="14" t="s">
        <v>144</v>
      </c>
      <c r="E123" s="15" t="s">
        <v>566</v>
      </c>
      <c r="F123" s="14" t="s">
        <v>567</v>
      </c>
      <c r="G123" s="14"/>
      <c r="H123" s="14" t="s">
        <v>157</v>
      </c>
      <c r="I123" s="15" t="s">
        <v>568</v>
      </c>
      <c r="J123" s="14" t="s">
        <v>91</v>
      </c>
      <c r="K123" s="15" t="s">
        <v>537</v>
      </c>
      <c r="L123" s="16" t="s">
        <v>52</v>
      </c>
      <c r="M123" s="17"/>
      <c r="N123" s="16"/>
      <c r="O123" s="16"/>
      <c r="P123" s="18"/>
      <c r="Q123" s="16"/>
      <c r="R123" s="18"/>
      <c r="S123" s="16"/>
      <c r="T123" s="16"/>
      <c r="U123" s="16"/>
      <c r="V123" s="16"/>
      <c r="W123" s="16"/>
      <c r="X123" s="16"/>
      <c r="Y123" s="16"/>
      <c r="Z123" s="16"/>
      <c r="AA123" s="18"/>
      <c r="AB123" s="18"/>
      <c r="AC123" s="18"/>
      <c r="AD123" s="18"/>
      <c r="AE123" s="18"/>
      <c r="AF123" s="19" t="n">
        <f aca="false">IF($B123="","",IF(AND(Consulta!$B$11="Sim",$L123&lt;&gt;"Sim"),-9999,IF($H123=Consulta!$B$5,-9999,IF(AND(Consulta!$B$3&lt;&gt;"Qualquer",ISNUMBER(SEARCH(Consulta!$B$3,$AA123))),-9999,IF(AND(Consulta!$B$10="Sim",$V123&lt;&gt;"Sim"),-9999,IF(OR(Consulta!$B$3="Qualquer",ISNUMBER(SEARCH(Consulta!$B$3,$P123))),3,0)+IF(OR(Consulta!$B$12="Qualquer",ISNUMBER(SEARCH(Consulta!$B$12,$Q123))),2,0)+IF(OR(Consulta!$B$4="Qualquer",ISNUMBER(SEARCH(Consulta!$B$4,$R123))),3,0)+IF(Consulta!$B$6="Qualquer",0,IF($O123=Consulta!$B$6,2,-1))+IF(Consulta!$B$7="Não",0,IF($U123="Sim",3,IF($U123="Não",-6,0)))+IF(Consulta!$B$8="Qualquer",0,IF($C123=Consulta!$B$8,2,-3))+IF(Consulta!$B$9="Qualquer",0,IF($D123=Consulta!$B$9,2,-1))+IF($N123="",0,$N123)-ROW()/100000)))))</f>
        <v>7.99877</v>
      </c>
    </row>
    <row r="124" customFormat="false" ht="15" hidden="false" customHeight="false" outlineLevel="0" collapsed="false">
      <c r="A124" s="14" t="n">
        <v>13</v>
      </c>
      <c r="B124" s="15" t="s">
        <v>569</v>
      </c>
      <c r="C124" s="14" t="s">
        <v>171</v>
      </c>
      <c r="D124" s="14" t="s">
        <v>156</v>
      </c>
      <c r="E124" s="15" t="s">
        <v>570</v>
      </c>
      <c r="F124" s="14" t="s">
        <v>571</v>
      </c>
      <c r="G124" s="14"/>
      <c r="H124" s="14" t="s">
        <v>157</v>
      </c>
      <c r="I124" s="15" t="s">
        <v>568</v>
      </c>
      <c r="J124" s="14" t="s">
        <v>91</v>
      </c>
      <c r="K124" s="15" t="s">
        <v>572</v>
      </c>
      <c r="L124" s="16" t="s">
        <v>52</v>
      </c>
      <c r="M124" s="17"/>
      <c r="N124" s="16"/>
      <c r="O124" s="16"/>
      <c r="P124" s="18"/>
      <c r="Q124" s="16"/>
      <c r="R124" s="18"/>
      <c r="S124" s="16"/>
      <c r="T124" s="16"/>
      <c r="U124" s="16"/>
      <c r="V124" s="16"/>
      <c r="W124" s="16"/>
      <c r="X124" s="16"/>
      <c r="Y124" s="16"/>
      <c r="Z124" s="16"/>
      <c r="AA124" s="18"/>
      <c r="AB124" s="18"/>
      <c r="AC124" s="18"/>
      <c r="AD124" s="18"/>
      <c r="AE124" s="18"/>
      <c r="AF124" s="19" t="n">
        <f aca="false">IF($B124="","",IF(AND(Consulta!$B$11="Sim",$L124&lt;&gt;"Sim"),-9999,IF($H124=Consulta!$B$5,-9999,IF(AND(Consulta!$B$3&lt;&gt;"Qualquer",ISNUMBER(SEARCH(Consulta!$B$3,$AA124))),-9999,IF(AND(Consulta!$B$10="Sim",$V124&lt;&gt;"Sim"),-9999,IF(OR(Consulta!$B$3="Qualquer",ISNUMBER(SEARCH(Consulta!$B$3,$P124))),3,0)+IF(OR(Consulta!$B$12="Qualquer",ISNUMBER(SEARCH(Consulta!$B$12,$Q124))),2,0)+IF(OR(Consulta!$B$4="Qualquer",ISNUMBER(SEARCH(Consulta!$B$4,$R124))),3,0)+IF(Consulta!$B$6="Qualquer",0,IF($O124=Consulta!$B$6,2,-1))+IF(Consulta!$B$7="Não",0,IF($U124="Sim",3,IF($U124="Não",-6,0)))+IF(Consulta!$B$8="Qualquer",0,IF($C124=Consulta!$B$8,2,-3))+IF(Consulta!$B$9="Qualquer",0,IF($D124=Consulta!$B$9,2,-1))+IF($N124="",0,$N124)-ROW()/100000)))))</f>
        <v>7.99876</v>
      </c>
    </row>
    <row r="125" customFormat="false" ht="15" hidden="false" customHeight="false" outlineLevel="0" collapsed="false">
      <c r="A125" s="14" t="n">
        <v>13</v>
      </c>
      <c r="B125" s="15" t="s">
        <v>573</v>
      </c>
      <c r="C125" s="14" t="s">
        <v>171</v>
      </c>
      <c r="D125" s="14" t="s">
        <v>159</v>
      </c>
      <c r="E125" s="15" t="s">
        <v>228</v>
      </c>
      <c r="F125" s="14" t="s">
        <v>574</v>
      </c>
      <c r="G125" s="14"/>
      <c r="H125" s="14" t="s">
        <v>157</v>
      </c>
      <c r="I125" s="15" t="s">
        <v>575</v>
      </c>
      <c r="J125" s="14" t="s">
        <v>91</v>
      </c>
      <c r="K125" s="15" t="s">
        <v>204</v>
      </c>
      <c r="L125" s="16" t="s">
        <v>52</v>
      </c>
      <c r="M125" s="17"/>
      <c r="N125" s="16"/>
      <c r="O125" s="16"/>
      <c r="P125" s="18"/>
      <c r="Q125" s="16"/>
      <c r="R125" s="18"/>
      <c r="S125" s="16"/>
      <c r="T125" s="16"/>
      <c r="U125" s="16"/>
      <c r="V125" s="16"/>
      <c r="W125" s="16"/>
      <c r="X125" s="16"/>
      <c r="Y125" s="16"/>
      <c r="Z125" s="16"/>
      <c r="AA125" s="18"/>
      <c r="AB125" s="18"/>
      <c r="AC125" s="18"/>
      <c r="AD125" s="18"/>
      <c r="AE125" s="18"/>
      <c r="AF125" s="19" t="n">
        <f aca="false">IF($B125="","",IF(AND(Consulta!$B$11="Sim",$L125&lt;&gt;"Sim"),-9999,IF($H125=Consulta!$B$5,-9999,IF(AND(Consulta!$B$3&lt;&gt;"Qualquer",ISNUMBER(SEARCH(Consulta!$B$3,$AA125))),-9999,IF(AND(Consulta!$B$10="Sim",$V125&lt;&gt;"Sim"),-9999,IF(OR(Consulta!$B$3="Qualquer",ISNUMBER(SEARCH(Consulta!$B$3,$P125))),3,0)+IF(OR(Consulta!$B$12="Qualquer",ISNUMBER(SEARCH(Consulta!$B$12,$Q125))),2,0)+IF(OR(Consulta!$B$4="Qualquer",ISNUMBER(SEARCH(Consulta!$B$4,$R125))),3,0)+IF(Consulta!$B$6="Qualquer",0,IF($O125=Consulta!$B$6,2,-1))+IF(Consulta!$B$7="Não",0,IF($U125="Sim",3,IF($U125="Não",-6,0)))+IF(Consulta!$B$8="Qualquer",0,IF($C125=Consulta!$B$8,2,-3))+IF(Consulta!$B$9="Qualquer",0,IF($D125=Consulta!$B$9,2,-1))+IF($N125="",0,$N125)-ROW()/100000)))))</f>
        <v>7.99875</v>
      </c>
    </row>
    <row r="126" customFormat="false" ht="23.85" hidden="false" customHeight="false" outlineLevel="0" collapsed="false">
      <c r="A126" s="14" t="n">
        <v>13</v>
      </c>
      <c r="B126" s="15" t="s">
        <v>576</v>
      </c>
      <c r="C126" s="14" t="s">
        <v>171</v>
      </c>
      <c r="D126" s="14" t="s">
        <v>177</v>
      </c>
      <c r="E126" s="15"/>
      <c r="F126" s="14"/>
      <c r="G126" s="14"/>
      <c r="H126" s="14"/>
      <c r="I126" s="15"/>
      <c r="J126" s="14" t="s">
        <v>126</v>
      </c>
      <c r="K126" s="15" t="s">
        <v>577</v>
      </c>
      <c r="L126" s="16" t="s">
        <v>52</v>
      </c>
      <c r="M126" s="17"/>
      <c r="N126" s="16"/>
      <c r="O126" s="16"/>
      <c r="P126" s="18"/>
      <c r="Q126" s="16"/>
      <c r="R126" s="18"/>
      <c r="S126" s="16"/>
      <c r="T126" s="16"/>
      <c r="U126" s="16"/>
      <c r="V126" s="16"/>
      <c r="W126" s="16"/>
      <c r="X126" s="16"/>
      <c r="Y126" s="16"/>
      <c r="Z126" s="16"/>
      <c r="AA126" s="18"/>
      <c r="AB126" s="18"/>
      <c r="AC126" s="18"/>
      <c r="AD126" s="18"/>
      <c r="AE126" s="18"/>
      <c r="AF126" s="19" t="n">
        <f aca="false">IF($B126="","",IF(AND(Consulta!$B$11="Sim",$L126&lt;&gt;"Sim"),-9999,IF($H126=Consulta!$B$5,-9999,IF(AND(Consulta!$B$3&lt;&gt;"Qualquer",ISNUMBER(SEARCH(Consulta!$B$3,$AA126))),-9999,IF(AND(Consulta!$B$10="Sim",$V126&lt;&gt;"Sim"),-9999,IF(OR(Consulta!$B$3="Qualquer",ISNUMBER(SEARCH(Consulta!$B$3,$P126))),3,0)+IF(OR(Consulta!$B$12="Qualquer",ISNUMBER(SEARCH(Consulta!$B$12,$Q126))),2,0)+IF(OR(Consulta!$B$4="Qualquer",ISNUMBER(SEARCH(Consulta!$B$4,$R126))),3,0)+IF(Consulta!$B$6="Qualquer",0,IF($O126=Consulta!$B$6,2,-1))+IF(Consulta!$B$7="Não",0,IF($U126="Sim",3,IF($U126="Não",-6,0)))+IF(Consulta!$B$8="Qualquer",0,IF($C126=Consulta!$B$8,2,-3))+IF(Consulta!$B$9="Qualquer",0,IF($D126=Consulta!$B$9,2,-1))+IF($N126="",0,$N126)-ROW()/100000)))))</f>
        <v>7.99874</v>
      </c>
    </row>
    <row r="127" customFormat="false" ht="23.85" hidden="false" customHeight="false" outlineLevel="0" collapsed="false">
      <c r="A127" s="14" t="n">
        <v>13</v>
      </c>
      <c r="B127" s="15" t="s">
        <v>578</v>
      </c>
      <c r="C127" s="14" t="s">
        <v>171</v>
      </c>
      <c r="D127" s="14" t="s">
        <v>144</v>
      </c>
      <c r="E127" s="15"/>
      <c r="F127" s="14"/>
      <c r="G127" s="14"/>
      <c r="H127" s="14"/>
      <c r="I127" s="15"/>
      <c r="J127" s="14" t="s">
        <v>91</v>
      </c>
      <c r="K127" s="15" t="s">
        <v>579</v>
      </c>
      <c r="L127" s="16" t="s">
        <v>52</v>
      </c>
      <c r="M127" s="17"/>
      <c r="N127" s="16"/>
      <c r="O127" s="16"/>
      <c r="P127" s="18"/>
      <c r="Q127" s="16"/>
      <c r="R127" s="18"/>
      <c r="S127" s="16"/>
      <c r="T127" s="16"/>
      <c r="U127" s="16"/>
      <c r="V127" s="16"/>
      <c r="W127" s="16"/>
      <c r="X127" s="16"/>
      <c r="Y127" s="16"/>
      <c r="Z127" s="16"/>
      <c r="AA127" s="18"/>
      <c r="AB127" s="18"/>
      <c r="AC127" s="18"/>
      <c r="AD127" s="18"/>
      <c r="AE127" s="18"/>
      <c r="AF127" s="19" t="n">
        <f aca="false">IF($B127="","",IF(AND(Consulta!$B$11="Sim",$L127&lt;&gt;"Sim"),-9999,IF($H127=Consulta!$B$5,-9999,IF(AND(Consulta!$B$3&lt;&gt;"Qualquer",ISNUMBER(SEARCH(Consulta!$B$3,$AA127))),-9999,IF(AND(Consulta!$B$10="Sim",$V127&lt;&gt;"Sim"),-9999,IF(OR(Consulta!$B$3="Qualquer",ISNUMBER(SEARCH(Consulta!$B$3,$P127))),3,0)+IF(OR(Consulta!$B$12="Qualquer",ISNUMBER(SEARCH(Consulta!$B$12,$Q127))),2,0)+IF(OR(Consulta!$B$4="Qualquer",ISNUMBER(SEARCH(Consulta!$B$4,$R127))),3,0)+IF(Consulta!$B$6="Qualquer",0,IF($O127=Consulta!$B$6,2,-1))+IF(Consulta!$B$7="Não",0,IF($U127="Sim",3,IF($U127="Não",-6,0)))+IF(Consulta!$B$8="Qualquer",0,IF($C127=Consulta!$B$8,2,-3))+IF(Consulta!$B$9="Qualquer",0,IF($D127=Consulta!$B$9,2,-1))+IF($N127="",0,$N127)-ROW()/100000)))))</f>
        <v>7.99873</v>
      </c>
    </row>
    <row r="128" customFormat="false" ht="23.85" hidden="false" customHeight="false" outlineLevel="0" collapsed="false">
      <c r="A128" s="14" t="n">
        <v>13</v>
      </c>
      <c r="B128" s="15" t="s">
        <v>580</v>
      </c>
      <c r="C128" s="14" t="s">
        <v>171</v>
      </c>
      <c r="D128" s="14" t="s">
        <v>112</v>
      </c>
      <c r="E128" s="15"/>
      <c r="F128" s="14"/>
      <c r="G128" s="14"/>
      <c r="H128" s="14"/>
      <c r="I128" s="15"/>
      <c r="J128" s="14" t="s">
        <v>126</v>
      </c>
      <c r="K128" s="15" t="s">
        <v>581</v>
      </c>
      <c r="L128" s="16" t="s">
        <v>52</v>
      </c>
      <c r="M128" s="17"/>
      <c r="N128" s="16"/>
      <c r="O128" s="16"/>
      <c r="P128" s="18"/>
      <c r="Q128" s="16"/>
      <c r="R128" s="18"/>
      <c r="S128" s="16"/>
      <c r="T128" s="16"/>
      <c r="U128" s="16"/>
      <c r="V128" s="16"/>
      <c r="W128" s="16"/>
      <c r="X128" s="16"/>
      <c r="Y128" s="16"/>
      <c r="Z128" s="16"/>
      <c r="AA128" s="18"/>
      <c r="AB128" s="18"/>
      <c r="AC128" s="18"/>
      <c r="AD128" s="18"/>
      <c r="AE128" s="18"/>
      <c r="AF128" s="19" t="n">
        <f aca="false">IF($B128="","",IF(AND(Consulta!$B$11="Sim",$L128&lt;&gt;"Sim"),-9999,IF($H128=Consulta!$B$5,-9999,IF(AND(Consulta!$B$3&lt;&gt;"Qualquer",ISNUMBER(SEARCH(Consulta!$B$3,$AA128))),-9999,IF(AND(Consulta!$B$10="Sim",$V128&lt;&gt;"Sim"),-9999,IF(OR(Consulta!$B$3="Qualquer",ISNUMBER(SEARCH(Consulta!$B$3,$P128))),3,0)+IF(OR(Consulta!$B$12="Qualquer",ISNUMBER(SEARCH(Consulta!$B$12,$Q128))),2,0)+IF(OR(Consulta!$B$4="Qualquer",ISNUMBER(SEARCH(Consulta!$B$4,$R128))),3,0)+IF(Consulta!$B$6="Qualquer",0,IF($O128=Consulta!$B$6,2,-1))+IF(Consulta!$B$7="Não",0,IF($U128="Sim",3,IF($U128="Não",-6,0)))+IF(Consulta!$B$8="Qualquer",0,IF($C128=Consulta!$B$8,2,-3))+IF(Consulta!$B$9="Qualquer",0,IF($D128=Consulta!$B$9,2,-1))+IF($N128="",0,$N128)-ROW()/100000)))))</f>
        <v>7.99872</v>
      </c>
    </row>
    <row r="129" customFormat="false" ht="15" hidden="false" customHeight="false" outlineLevel="0" collapsed="false">
      <c r="A129" s="14" t="n">
        <v>13</v>
      </c>
      <c r="B129" s="15" t="s">
        <v>582</v>
      </c>
      <c r="C129" s="14" t="s">
        <v>171</v>
      </c>
      <c r="D129" s="14" t="s">
        <v>177</v>
      </c>
      <c r="E129" s="15"/>
      <c r="F129" s="14"/>
      <c r="G129" s="14"/>
      <c r="H129" s="14"/>
      <c r="I129" s="15"/>
      <c r="J129" s="14" t="s">
        <v>126</v>
      </c>
      <c r="K129" s="15" t="s">
        <v>583</v>
      </c>
      <c r="L129" s="16" t="s">
        <v>52</v>
      </c>
      <c r="M129" s="17"/>
      <c r="N129" s="16"/>
      <c r="O129" s="16"/>
      <c r="P129" s="18"/>
      <c r="Q129" s="16"/>
      <c r="R129" s="18"/>
      <c r="S129" s="16"/>
      <c r="T129" s="16"/>
      <c r="U129" s="16"/>
      <c r="V129" s="16"/>
      <c r="W129" s="16"/>
      <c r="X129" s="16"/>
      <c r="Y129" s="16"/>
      <c r="Z129" s="16"/>
      <c r="AA129" s="18"/>
      <c r="AB129" s="18"/>
      <c r="AC129" s="18"/>
      <c r="AD129" s="18"/>
      <c r="AE129" s="18"/>
      <c r="AF129" s="19" t="n">
        <f aca="false">IF($B129="","",IF(AND(Consulta!$B$11="Sim",$L129&lt;&gt;"Sim"),-9999,IF($H129=Consulta!$B$5,-9999,IF(AND(Consulta!$B$3&lt;&gt;"Qualquer",ISNUMBER(SEARCH(Consulta!$B$3,$AA129))),-9999,IF(AND(Consulta!$B$10="Sim",$V129&lt;&gt;"Sim"),-9999,IF(OR(Consulta!$B$3="Qualquer",ISNUMBER(SEARCH(Consulta!$B$3,$P129))),3,0)+IF(OR(Consulta!$B$12="Qualquer",ISNUMBER(SEARCH(Consulta!$B$12,$Q129))),2,0)+IF(OR(Consulta!$B$4="Qualquer",ISNUMBER(SEARCH(Consulta!$B$4,$R129))),3,0)+IF(Consulta!$B$6="Qualquer",0,IF($O129=Consulta!$B$6,2,-1))+IF(Consulta!$B$7="Não",0,IF($U129="Sim",3,IF($U129="Não",-6,0)))+IF(Consulta!$B$8="Qualquer",0,IF($C129=Consulta!$B$8,2,-3))+IF(Consulta!$B$9="Qualquer",0,IF($D129=Consulta!$B$9,2,-1))+IF($N129="",0,$N129)-ROW()/100000)))))</f>
        <v>7.99871</v>
      </c>
    </row>
    <row r="130" customFormat="false" ht="23.85" hidden="false" customHeight="false" outlineLevel="0" collapsed="false">
      <c r="A130" s="14" t="n">
        <v>13</v>
      </c>
      <c r="B130" s="15" t="s">
        <v>584</v>
      </c>
      <c r="C130" s="14" t="s">
        <v>171</v>
      </c>
      <c r="D130" s="14" t="s">
        <v>112</v>
      </c>
      <c r="E130" s="15"/>
      <c r="F130" s="14"/>
      <c r="G130" s="14"/>
      <c r="H130" s="14"/>
      <c r="I130" s="15"/>
      <c r="J130" s="14" t="s">
        <v>91</v>
      </c>
      <c r="K130" s="15" t="s">
        <v>585</v>
      </c>
      <c r="L130" s="16" t="s">
        <v>52</v>
      </c>
      <c r="M130" s="17"/>
      <c r="N130" s="16"/>
      <c r="O130" s="16"/>
      <c r="P130" s="18"/>
      <c r="Q130" s="16"/>
      <c r="R130" s="18"/>
      <c r="S130" s="16"/>
      <c r="T130" s="16"/>
      <c r="U130" s="16"/>
      <c r="V130" s="16"/>
      <c r="W130" s="16"/>
      <c r="X130" s="16"/>
      <c r="Y130" s="16"/>
      <c r="Z130" s="16"/>
      <c r="AA130" s="18"/>
      <c r="AB130" s="18"/>
      <c r="AC130" s="18"/>
      <c r="AD130" s="18"/>
      <c r="AE130" s="18"/>
      <c r="AF130" s="19" t="n">
        <f aca="false">IF($B130="","",IF(AND(Consulta!$B$11="Sim",$L130&lt;&gt;"Sim"),-9999,IF($H130=Consulta!$B$5,-9999,IF(AND(Consulta!$B$3&lt;&gt;"Qualquer",ISNUMBER(SEARCH(Consulta!$B$3,$AA130))),-9999,IF(AND(Consulta!$B$10="Sim",$V130&lt;&gt;"Sim"),-9999,IF(OR(Consulta!$B$3="Qualquer",ISNUMBER(SEARCH(Consulta!$B$3,$P130))),3,0)+IF(OR(Consulta!$B$12="Qualquer",ISNUMBER(SEARCH(Consulta!$B$12,$Q130))),2,0)+IF(OR(Consulta!$B$4="Qualquer",ISNUMBER(SEARCH(Consulta!$B$4,$R130))),3,0)+IF(Consulta!$B$6="Qualquer",0,IF($O130=Consulta!$B$6,2,-1))+IF(Consulta!$B$7="Não",0,IF($U130="Sim",3,IF($U130="Não",-6,0)))+IF(Consulta!$B$8="Qualquer",0,IF($C130=Consulta!$B$8,2,-3))+IF(Consulta!$B$9="Qualquer",0,IF($D130=Consulta!$B$9,2,-1))+IF($N130="",0,$N130)-ROW()/100000)))))</f>
        <v>7.9987</v>
      </c>
    </row>
    <row r="131" customFormat="false" ht="15" hidden="false" customHeight="false" outlineLevel="0" collapsed="false">
      <c r="A131" s="14" t="n">
        <v>13</v>
      </c>
      <c r="B131" s="15" t="s">
        <v>586</v>
      </c>
      <c r="C131" s="14" t="s">
        <v>171</v>
      </c>
      <c r="D131" s="14" t="s">
        <v>144</v>
      </c>
      <c r="E131" s="15"/>
      <c r="F131" s="14"/>
      <c r="G131" s="14"/>
      <c r="H131" s="14"/>
      <c r="I131" s="15"/>
      <c r="J131" s="14" t="s">
        <v>91</v>
      </c>
      <c r="K131" s="15" t="s">
        <v>587</v>
      </c>
      <c r="L131" s="16" t="s">
        <v>52</v>
      </c>
      <c r="M131" s="17"/>
      <c r="N131" s="16"/>
      <c r="O131" s="16"/>
      <c r="P131" s="18"/>
      <c r="Q131" s="16"/>
      <c r="R131" s="18"/>
      <c r="S131" s="16"/>
      <c r="T131" s="16"/>
      <c r="U131" s="16"/>
      <c r="V131" s="16"/>
      <c r="W131" s="16"/>
      <c r="X131" s="16"/>
      <c r="Y131" s="16"/>
      <c r="Z131" s="16"/>
      <c r="AA131" s="18"/>
      <c r="AB131" s="18"/>
      <c r="AC131" s="18"/>
      <c r="AD131" s="18"/>
      <c r="AE131" s="18"/>
      <c r="AF131" s="19" t="n">
        <f aca="false">IF($B131="","",IF(AND(Consulta!$B$11="Sim",$L131&lt;&gt;"Sim"),-9999,IF($H131=Consulta!$B$5,-9999,IF(AND(Consulta!$B$3&lt;&gt;"Qualquer",ISNUMBER(SEARCH(Consulta!$B$3,$AA131))),-9999,IF(AND(Consulta!$B$10="Sim",$V131&lt;&gt;"Sim"),-9999,IF(OR(Consulta!$B$3="Qualquer",ISNUMBER(SEARCH(Consulta!$B$3,$P131))),3,0)+IF(OR(Consulta!$B$12="Qualquer",ISNUMBER(SEARCH(Consulta!$B$12,$Q131))),2,0)+IF(OR(Consulta!$B$4="Qualquer",ISNUMBER(SEARCH(Consulta!$B$4,$R131))),3,0)+IF(Consulta!$B$6="Qualquer",0,IF($O131=Consulta!$B$6,2,-1))+IF(Consulta!$B$7="Não",0,IF($U131="Sim",3,IF($U131="Não",-6,0)))+IF(Consulta!$B$8="Qualquer",0,IF($C131=Consulta!$B$8,2,-3))+IF(Consulta!$B$9="Qualquer",0,IF($D131=Consulta!$B$9,2,-1))+IF($N131="",0,$N131)-ROW()/100000)))))</f>
        <v>7.99869</v>
      </c>
    </row>
    <row r="132" customFormat="false" ht="23.85" hidden="false" customHeight="false" outlineLevel="0" collapsed="false">
      <c r="A132" s="14" t="n">
        <v>13</v>
      </c>
      <c r="B132" s="15" t="s">
        <v>588</v>
      </c>
      <c r="C132" s="14" t="s">
        <v>171</v>
      </c>
      <c r="D132" s="14" t="s">
        <v>144</v>
      </c>
      <c r="E132" s="15"/>
      <c r="F132" s="14"/>
      <c r="G132" s="14"/>
      <c r="H132" s="14"/>
      <c r="I132" s="15"/>
      <c r="J132" s="14" t="s">
        <v>91</v>
      </c>
      <c r="K132" s="15" t="s">
        <v>589</v>
      </c>
      <c r="L132" s="16" t="s">
        <v>52</v>
      </c>
      <c r="M132" s="17"/>
      <c r="N132" s="16"/>
      <c r="O132" s="16"/>
      <c r="P132" s="18"/>
      <c r="Q132" s="16"/>
      <c r="R132" s="18"/>
      <c r="S132" s="16"/>
      <c r="T132" s="16"/>
      <c r="U132" s="16"/>
      <c r="V132" s="16"/>
      <c r="W132" s="16"/>
      <c r="X132" s="16"/>
      <c r="Y132" s="16"/>
      <c r="Z132" s="16"/>
      <c r="AA132" s="18"/>
      <c r="AB132" s="18"/>
      <c r="AC132" s="18"/>
      <c r="AD132" s="18"/>
      <c r="AE132" s="18"/>
      <c r="AF132" s="19" t="n">
        <f aca="false">IF($B132="","",IF(AND(Consulta!$B$11="Sim",$L132&lt;&gt;"Sim"),-9999,IF($H132=Consulta!$B$5,-9999,IF(AND(Consulta!$B$3&lt;&gt;"Qualquer",ISNUMBER(SEARCH(Consulta!$B$3,$AA132))),-9999,IF(AND(Consulta!$B$10="Sim",$V132&lt;&gt;"Sim"),-9999,IF(OR(Consulta!$B$3="Qualquer",ISNUMBER(SEARCH(Consulta!$B$3,$P132))),3,0)+IF(OR(Consulta!$B$12="Qualquer",ISNUMBER(SEARCH(Consulta!$B$12,$Q132))),2,0)+IF(OR(Consulta!$B$4="Qualquer",ISNUMBER(SEARCH(Consulta!$B$4,$R132))),3,0)+IF(Consulta!$B$6="Qualquer",0,IF($O132=Consulta!$B$6,2,-1))+IF(Consulta!$B$7="Não",0,IF($U132="Sim",3,IF($U132="Não",-6,0)))+IF(Consulta!$B$8="Qualquer",0,IF($C132=Consulta!$B$8,2,-3))+IF(Consulta!$B$9="Qualquer",0,IF($D132=Consulta!$B$9,2,-1))+IF($N132="",0,$N132)-ROW()/100000)))))</f>
        <v>7.99868</v>
      </c>
    </row>
    <row r="133" customFormat="false" ht="15" hidden="false" customHeight="false" outlineLevel="0" collapsed="false">
      <c r="A133" s="14" t="n">
        <v>13</v>
      </c>
      <c r="B133" s="15" t="s">
        <v>590</v>
      </c>
      <c r="C133" s="14" t="s">
        <v>171</v>
      </c>
      <c r="D133" s="14" t="s">
        <v>159</v>
      </c>
      <c r="E133" s="15" t="s">
        <v>591</v>
      </c>
      <c r="F133" s="14"/>
      <c r="G133" s="14" t="s">
        <v>592</v>
      </c>
      <c r="H133" s="14" t="s">
        <v>157</v>
      </c>
      <c r="I133" s="15"/>
      <c r="J133" s="14" t="s">
        <v>102</v>
      </c>
      <c r="K133" s="15" t="s">
        <v>315</v>
      </c>
      <c r="L133" s="16" t="s">
        <v>52</v>
      </c>
      <c r="M133" s="17"/>
      <c r="N133" s="16"/>
      <c r="O133" s="16"/>
      <c r="P133" s="18"/>
      <c r="Q133" s="16"/>
      <c r="R133" s="18"/>
      <c r="S133" s="16"/>
      <c r="T133" s="16"/>
      <c r="U133" s="16"/>
      <c r="V133" s="16"/>
      <c r="W133" s="16"/>
      <c r="X133" s="16"/>
      <c r="Y133" s="16"/>
      <c r="Z133" s="16"/>
      <c r="AA133" s="18"/>
      <c r="AB133" s="18"/>
      <c r="AC133" s="18"/>
      <c r="AD133" s="18"/>
      <c r="AE133" s="18"/>
      <c r="AF133" s="19" t="n">
        <f aca="false">IF($B133="","",IF(AND(Consulta!$B$11="Sim",$L133&lt;&gt;"Sim"),-9999,IF($H133=Consulta!$B$5,-9999,IF(AND(Consulta!$B$3&lt;&gt;"Qualquer",ISNUMBER(SEARCH(Consulta!$B$3,$AA133))),-9999,IF(AND(Consulta!$B$10="Sim",$V133&lt;&gt;"Sim"),-9999,IF(OR(Consulta!$B$3="Qualquer",ISNUMBER(SEARCH(Consulta!$B$3,$P133))),3,0)+IF(OR(Consulta!$B$12="Qualquer",ISNUMBER(SEARCH(Consulta!$B$12,$Q133))),2,0)+IF(OR(Consulta!$B$4="Qualquer",ISNUMBER(SEARCH(Consulta!$B$4,$R133))),3,0)+IF(Consulta!$B$6="Qualquer",0,IF($O133=Consulta!$B$6,2,-1))+IF(Consulta!$B$7="Não",0,IF($U133="Sim",3,IF($U133="Não",-6,0)))+IF(Consulta!$B$8="Qualquer",0,IF($C133=Consulta!$B$8,2,-3))+IF(Consulta!$B$9="Qualquer",0,IF($D133=Consulta!$B$9,2,-1))+IF($N133="",0,$N133)-ROW()/100000)))))</f>
        <v>7.99867</v>
      </c>
    </row>
    <row r="134" customFormat="false" ht="15" hidden="false" customHeight="false" outlineLevel="0" collapsed="false">
      <c r="A134" s="14" t="n">
        <v>13</v>
      </c>
      <c r="B134" s="15" t="s">
        <v>593</v>
      </c>
      <c r="C134" s="14" t="s">
        <v>171</v>
      </c>
      <c r="D134" s="14" t="s">
        <v>144</v>
      </c>
      <c r="E134" s="15"/>
      <c r="F134" s="14"/>
      <c r="G134" s="14"/>
      <c r="H134" s="14"/>
      <c r="I134" s="15"/>
      <c r="J134" s="14" t="s">
        <v>91</v>
      </c>
      <c r="K134" s="15" t="s">
        <v>594</v>
      </c>
      <c r="L134" s="16" t="s">
        <v>52</v>
      </c>
      <c r="M134" s="17"/>
      <c r="N134" s="16"/>
      <c r="O134" s="16"/>
      <c r="P134" s="18"/>
      <c r="Q134" s="16"/>
      <c r="R134" s="18"/>
      <c r="S134" s="16"/>
      <c r="T134" s="16"/>
      <c r="U134" s="16"/>
      <c r="V134" s="16"/>
      <c r="W134" s="16"/>
      <c r="X134" s="16"/>
      <c r="Y134" s="16"/>
      <c r="Z134" s="16"/>
      <c r="AA134" s="18"/>
      <c r="AB134" s="18"/>
      <c r="AC134" s="18"/>
      <c r="AD134" s="18"/>
      <c r="AE134" s="18"/>
      <c r="AF134" s="19" t="n">
        <f aca="false">IF($B134="","",IF(AND(Consulta!$B$11="Sim",$L134&lt;&gt;"Sim"),-9999,IF($H134=Consulta!$B$5,-9999,IF(AND(Consulta!$B$3&lt;&gt;"Qualquer",ISNUMBER(SEARCH(Consulta!$B$3,$AA134))),-9999,IF(AND(Consulta!$B$10="Sim",$V134&lt;&gt;"Sim"),-9999,IF(OR(Consulta!$B$3="Qualquer",ISNUMBER(SEARCH(Consulta!$B$3,$P134))),3,0)+IF(OR(Consulta!$B$12="Qualquer",ISNUMBER(SEARCH(Consulta!$B$12,$Q134))),2,0)+IF(OR(Consulta!$B$4="Qualquer",ISNUMBER(SEARCH(Consulta!$B$4,$R134))),3,0)+IF(Consulta!$B$6="Qualquer",0,IF($O134=Consulta!$B$6,2,-1))+IF(Consulta!$B$7="Não",0,IF($U134="Sim",3,IF($U134="Não",-6,0)))+IF(Consulta!$B$8="Qualquer",0,IF($C134=Consulta!$B$8,2,-3))+IF(Consulta!$B$9="Qualquer",0,IF($D134=Consulta!$B$9,2,-1))+IF($N134="",0,$N134)-ROW()/100000)))))</f>
        <v>7.99866</v>
      </c>
    </row>
    <row r="135" customFormat="false" ht="15" hidden="false" customHeight="false" outlineLevel="0" collapsed="false">
      <c r="A135" s="14" t="n">
        <v>13</v>
      </c>
      <c r="B135" s="15" t="s">
        <v>595</v>
      </c>
      <c r="C135" s="14" t="s">
        <v>171</v>
      </c>
      <c r="D135" s="14" t="s">
        <v>144</v>
      </c>
      <c r="E135" s="15"/>
      <c r="F135" s="14"/>
      <c r="G135" s="14"/>
      <c r="H135" s="14"/>
      <c r="I135" s="15"/>
      <c r="J135" s="14" t="s">
        <v>114</v>
      </c>
      <c r="K135" s="15" t="s">
        <v>596</v>
      </c>
      <c r="L135" s="16" t="s">
        <v>52</v>
      </c>
      <c r="M135" s="17"/>
      <c r="N135" s="16"/>
      <c r="O135" s="16"/>
      <c r="P135" s="18"/>
      <c r="Q135" s="16"/>
      <c r="R135" s="18"/>
      <c r="S135" s="16"/>
      <c r="T135" s="16"/>
      <c r="U135" s="16"/>
      <c r="V135" s="16"/>
      <c r="W135" s="16"/>
      <c r="X135" s="16"/>
      <c r="Y135" s="16"/>
      <c r="Z135" s="16"/>
      <c r="AA135" s="18"/>
      <c r="AB135" s="18"/>
      <c r="AC135" s="18"/>
      <c r="AD135" s="18"/>
      <c r="AE135" s="18"/>
      <c r="AF135" s="19" t="n">
        <f aca="false">IF($B135="","",IF(AND(Consulta!$B$11="Sim",$L135&lt;&gt;"Sim"),-9999,IF($H135=Consulta!$B$5,-9999,IF(AND(Consulta!$B$3&lt;&gt;"Qualquer",ISNUMBER(SEARCH(Consulta!$B$3,$AA135))),-9999,IF(AND(Consulta!$B$10="Sim",$V135&lt;&gt;"Sim"),-9999,IF(OR(Consulta!$B$3="Qualquer",ISNUMBER(SEARCH(Consulta!$B$3,$P135))),3,0)+IF(OR(Consulta!$B$12="Qualquer",ISNUMBER(SEARCH(Consulta!$B$12,$Q135))),2,0)+IF(OR(Consulta!$B$4="Qualquer",ISNUMBER(SEARCH(Consulta!$B$4,$R135))),3,0)+IF(Consulta!$B$6="Qualquer",0,IF($O135=Consulta!$B$6,2,-1))+IF(Consulta!$B$7="Não",0,IF($U135="Sim",3,IF($U135="Não",-6,0)))+IF(Consulta!$B$8="Qualquer",0,IF($C135=Consulta!$B$8,2,-3))+IF(Consulta!$B$9="Qualquer",0,IF($D135=Consulta!$B$9,2,-1))+IF($N135="",0,$N135)-ROW()/100000)))))</f>
        <v>7.99865</v>
      </c>
    </row>
    <row r="136" customFormat="false" ht="15" hidden="false" customHeight="false" outlineLevel="0" collapsed="false">
      <c r="A136" s="14" t="n">
        <v>13</v>
      </c>
      <c r="B136" s="15" t="s">
        <v>597</v>
      </c>
      <c r="C136" s="14" t="s">
        <v>171</v>
      </c>
      <c r="D136" s="14" t="s">
        <v>144</v>
      </c>
      <c r="E136" s="15"/>
      <c r="F136" s="14"/>
      <c r="G136" s="14"/>
      <c r="H136" s="14"/>
      <c r="I136" s="15"/>
      <c r="J136" s="14" t="s">
        <v>114</v>
      </c>
      <c r="K136" s="15" t="s">
        <v>598</v>
      </c>
      <c r="L136" s="16" t="s">
        <v>52</v>
      </c>
      <c r="M136" s="17"/>
      <c r="N136" s="16"/>
      <c r="O136" s="16"/>
      <c r="P136" s="18"/>
      <c r="Q136" s="16"/>
      <c r="R136" s="18"/>
      <c r="S136" s="16"/>
      <c r="T136" s="16"/>
      <c r="U136" s="16"/>
      <c r="V136" s="16"/>
      <c r="W136" s="16"/>
      <c r="X136" s="16"/>
      <c r="Y136" s="16"/>
      <c r="Z136" s="16"/>
      <c r="AA136" s="18"/>
      <c r="AB136" s="18"/>
      <c r="AC136" s="18"/>
      <c r="AD136" s="18"/>
      <c r="AE136" s="18"/>
      <c r="AF136" s="19" t="n">
        <f aca="false">IF($B136="","",IF(AND(Consulta!$B$11="Sim",$L136&lt;&gt;"Sim"),-9999,IF($H136=Consulta!$B$5,-9999,IF(AND(Consulta!$B$3&lt;&gt;"Qualquer",ISNUMBER(SEARCH(Consulta!$B$3,$AA136))),-9999,IF(AND(Consulta!$B$10="Sim",$V136&lt;&gt;"Sim"),-9999,IF(OR(Consulta!$B$3="Qualquer",ISNUMBER(SEARCH(Consulta!$B$3,$P136))),3,0)+IF(OR(Consulta!$B$12="Qualquer",ISNUMBER(SEARCH(Consulta!$B$12,$Q136))),2,0)+IF(OR(Consulta!$B$4="Qualquer",ISNUMBER(SEARCH(Consulta!$B$4,$R136))),3,0)+IF(Consulta!$B$6="Qualquer",0,IF($O136=Consulta!$B$6,2,-1))+IF(Consulta!$B$7="Não",0,IF($U136="Sim",3,IF($U136="Não",-6,0)))+IF(Consulta!$B$8="Qualquer",0,IF($C136=Consulta!$B$8,2,-3))+IF(Consulta!$B$9="Qualquer",0,IF($D136=Consulta!$B$9,2,-1))+IF($N136="",0,$N136)-ROW()/100000)))))</f>
        <v>7.99864</v>
      </c>
    </row>
    <row r="137" customFormat="false" ht="23.85" hidden="false" customHeight="false" outlineLevel="0" collapsed="false">
      <c r="A137" s="14" t="n">
        <v>13</v>
      </c>
      <c r="B137" s="15" t="s">
        <v>599</v>
      </c>
      <c r="C137" s="14" t="s">
        <v>171</v>
      </c>
      <c r="D137" s="14" t="s">
        <v>144</v>
      </c>
      <c r="E137" s="15"/>
      <c r="F137" s="14"/>
      <c r="G137" s="14"/>
      <c r="H137" s="14"/>
      <c r="I137" s="15"/>
      <c r="J137" s="14" t="s">
        <v>114</v>
      </c>
      <c r="K137" s="15" t="s">
        <v>600</v>
      </c>
      <c r="L137" s="16" t="s">
        <v>52</v>
      </c>
      <c r="M137" s="17"/>
      <c r="N137" s="16"/>
      <c r="O137" s="16"/>
      <c r="P137" s="18"/>
      <c r="Q137" s="16"/>
      <c r="R137" s="18"/>
      <c r="S137" s="16"/>
      <c r="T137" s="16"/>
      <c r="U137" s="16"/>
      <c r="V137" s="16"/>
      <c r="W137" s="16"/>
      <c r="X137" s="16"/>
      <c r="Y137" s="16"/>
      <c r="Z137" s="16"/>
      <c r="AA137" s="18"/>
      <c r="AB137" s="18"/>
      <c r="AC137" s="18"/>
      <c r="AD137" s="18"/>
      <c r="AE137" s="18"/>
      <c r="AF137" s="19" t="n">
        <f aca="false">IF($B137="","",IF(AND(Consulta!$B$11="Sim",$L137&lt;&gt;"Sim"),-9999,IF($H137=Consulta!$B$5,-9999,IF(AND(Consulta!$B$3&lt;&gt;"Qualquer",ISNUMBER(SEARCH(Consulta!$B$3,$AA137))),-9999,IF(AND(Consulta!$B$10="Sim",$V137&lt;&gt;"Sim"),-9999,IF(OR(Consulta!$B$3="Qualquer",ISNUMBER(SEARCH(Consulta!$B$3,$P137))),3,0)+IF(OR(Consulta!$B$12="Qualquer",ISNUMBER(SEARCH(Consulta!$B$12,$Q137))),2,0)+IF(OR(Consulta!$B$4="Qualquer",ISNUMBER(SEARCH(Consulta!$B$4,$R137))),3,0)+IF(Consulta!$B$6="Qualquer",0,IF($O137=Consulta!$B$6,2,-1))+IF(Consulta!$B$7="Não",0,IF($U137="Sim",3,IF($U137="Não",-6,0)))+IF(Consulta!$B$8="Qualquer",0,IF($C137=Consulta!$B$8,2,-3))+IF(Consulta!$B$9="Qualquer",0,IF($D137=Consulta!$B$9,2,-1))+IF($N137="",0,$N137)-ROW()/100000)))))</f>
        <v>7.99863</v>
      </c>
    </row>
    <row r="138" customFormat="false" ht="23.85" hidden="false" customHeight="false" outlineLevel="0" collapsed="false">
      <c r="A138" s="14" t="n">
        <v>13</v>
      </c>
      <c r="B138" s="15" t="s">
        <v>601</v>
      </c>
      <c r="C138" s="14" t="s">
        <v>171</v>
      </c>
      <c r="D138" s="14" t="s">
        <v>144</v>
      </c>
      <c r="E138" s="15"/>
      <c r="F138" s="14"/>
      <c r="G138" s="14"/>
      <c r="H138" s="14"/>
      <c r="I138" s="15"/>
      <c r="J138" s="14" t="s">
        <v>114</v>
      </c>
      <c r="K138" s="15" t="s">
        <v>602</v>
      </c>
      <c r="L138" s="16" t="s">
        <v>52</v>
      </c>
      <c r="M138" s="17"/>
      <c r="N138" s="16"/>
      <c r="O138" s="16"/>
      <c r="P138" s="18"/>
      <c r="Q138" s="16"/>
      <c r="R138" s="18"/>
      <c r="S138" s="16"/>
      <c r="T138" s="16"/>
      <c r="U138" s="16"/>
      <c r="V138" s="16"/>
      <c r="W138" s="16"/>
      <c r="X138" s="16"/>
      <c r="Y138" s="16"/>
      <c r="Z138" s="16"/>
      <c r="AA138" s="18"/>
      <c r="AB138" s="18"/>
      <c r="AC138" s="18"/>
      <c r="AD138" s="18"/>
      <c r="AE138" s="18"/>
      <c r="AF138" s="19" t="n">
        <f aca="false">IF($B138="","",IF(AND(Consulta!$B$11="Sim",$L138&lt;&gt;"Sim"),-9999,IF($H138=Consulta!$B$5,-9999,IF(AND(Consulta!$B$3&lt;&gt;"Qualquer",ISNUMBER(SEARCH(Consulta!$B$3,$AA138))),-9999,IF(AND(Consulta!$B$10="Sim",$V138&lt;&gt;"Sim"),-9999,IF(OR(Consulta!$B$3="Qualquer",ISNUMBER(SEARCH(Consulta!$B$3,$P138))),3,0)+IF(OR(Consulta!$B$12="Qualquer",ISNUMBER(SEARCH(Consulta!$B$12,$Q138))),2,0)+IF(OR(Consulta!$B$4="Qualquer",ISNUMBER(SEARCH(Consulta!$B$4,$R138))),3,0)+IF(Consulta!$B$6="Qualquer",0,IF($O138=Consulta!$B$6,2,-1))+IF(Consulta!$B$7="Não",0,IF($U138="Sim",3,IF($U138="Não",-6,0)))+IF(Consulta!$B$8="Qualquer",0,IF($C138=Consulta!$B$8,2,-3))+IF(Consulta!$B$9="Qualquer",0,IF($D138=Consulta!$B$9,2,-1))+IF($N138="",0,$N138)-ROW()/100000)))))</f>
        <v>7.99862</v>
      </c>
    </row>
    <row r="139" customFormat="false" ht="23.85" hidden="false" customHeight="false" outlineLevel="0" collapsed="false">
      <c r="A139" s="14" t="n">
        <v>13</v>
      </c>
      <c r="B139" s="15" t="s">
        <v>603</v>
      </c>
      <c r="C139" s="14" t="s">
        <v>171</v>
      </c>
      <c r="D139" s="14" t="s">
        <v>144</v>
      </c>
      <c r="E139" s="15"/>
      <c r="F139" s="14"/>
      <c r="G139" s="14"/>
      <c r="H139" s="14"/>
      <c r="I139" s="15"/>
      <c r="J139" s="14" t="s">
        <v>114</v>
      </c>
      <c r="K139" s="15" t="s">
        <v>604</v>
      </c>
      <c r="L139" s="16" t="s">
        <v>52</v>
      </c>
      <c r="M139" s="17"/>
      <c r="N139" s="16"/>
      <c r="O139" s="16"/>
      <c r="P139" s="18"/>
      <c r="Q139" s="16"/>
      <c r="R139" s="18"/>
      <c r="S139" s="16"/>
      <c r="T139" s="16"/>
      <c r="U139" s="16"/>
      <c r="V139" s="16"/>
      <c r="W139" s="16"/>
      <c r="X139" s="16"/>
      <c r="Y139" s="16"/>
      <c r="Z139" s="16"/>
      <c r="AA139" s="18"/>
      <c r="AB139" s="18"/>
      <c r="AC139" s="18"/>
      <c r="AD139" s="18"/>
      <c r="AE139" s="18"/>
      <c r="AF139" s="19" t="n">
        <f aca="false">IF($B139="","",IF(AND(Consulta!$B$11="Sim",$L139&lt;&gt;"Sim"),-9999,IF($H139=Consulta!$B$5,-9999,IF(AND(Consulta!$B$3&lt;&gt;"Qualquer",ISNUMBER(SEARCH(Consulta!$B$3,$AA139))),-9999,IF(AND(Consulta!$B$10="Sim",$V139&lt;&gt;"Sim"),-9999,IF(OR(Consulta!$B$3="Qualquer",ISNUMBER(SEARCH(Consulta!$B$3,$P139))),3,0)+IF(OR(Consulta!$B$12="Qualquer",ISNUMBER(SEARCH(Consulta!$B$12,$Q139))),2,0)+IF(OR(Consulta!$B$4="Qualquer",ISNUMBER(SEARCH(Consulta!$B$4,$R139))),3,0)+IF(Consulta!$B$6="Qualquer",0,IF($O139=Consulta!$B$6,2,-1))+IF(Consulta!$B$7="Não",0,IF($U139="Sim",3,IF($U139="Não",-6,0)))+IF(Consulta!$B$8="Qualquer",0,IF($C139=Consulta!$B$8,2,-3))+IF(Consulta!$B$9="Qualquer",0,IF($D139=Consulta!$B$9,2,-1))+IF($N139="",0,$N139)-ROW()/100000)))))</f>
        <v>7.99861</v>
      </c>
    </row>
    <row r="140" customFormat="false" ht="23.85" hidden="false" customHeight="false" outlineLevel="0" collapsed="false">
      <c r="A140" s="14" t="n">
        <v>13</v>
      </c>
      <c r="B140" s="15" t="s">
        <v>605</v>
      </c>
      <c r="C140" s="14" t="s">
        <v>171</v>
      </c>
      <c r="D140" s="14" t="s">
        <v>144</v>
      </c>
      <c r="E140" s="15"/>
      <c r="F140" s="14"/>
      <c r="G140" s="14"/>
      <c r="H140" s="14"/>
      <c r="I140" s="15"/>
      <c r="J140" s="14" t="s">
        <v>114</v>
      </c>
      <c r="K140" s="15" t="s">
        <v>606</v>
      </c>
      <c r="L140" s="16" t="s">
        <v>52</v>
      </c>
      <c r="M140" s="17"/>
      <c r="N140" s="16"/>
      <c r="O140" s="16"/>
      <c r="P140" s="18"/>
      <c r="Q140" s="16"/>
      <c r="R140" s="18"/>
      <c r="S140" s="16"/>
      <c r="T140" s="16"/>
      <c r="U140" s="16"/>
      <c r="V140" s="16"/>
      <c r="W140" s="16"/>
      <c r="X140" s="16"/>
      <c r="Y140" s="16"/>
      <c r="Z140" s="16"/>
      <c r="AA140" s="18"/>
      <c r="AB140" s="18"/>
      <c r="AC140" s="18"/>
      <c r="AD140" s="18"/>
      <c r="AE140" s="18"/>
      <c r="AF140" s="19" t="n">
        <f aca="false">IF($B140="","",IF(AND(Consulta!$B$11="Sim",$L140&lt;&gt;"Sim"),-9999,IF($H140=Consulta!$B$5,-9999,IF(AND(Consulta!$B$3&lt;&gt;"Qualquer",ISNUMBER(SEARCH(Consulta!$B$3,$AA140))),-9999,IF(AND(Consulta!$B$10="Sim",$V140&lt;&gt;"Sim"),-9999,IF(OR(Consulta!$B$3="Qualquer",ISNUMBER(SEARCH(Consulta!$B$3,$P140))),3,0)+IF(OR(Consulta!$B$12="Qualquer",ISNUMBER(SEARCH(Consulta!$B$12,$Q140))),2,0)+IF(OR(Consulta!$B$4="Qualquer",ISNUMBER(SEARCH(Consulta!$B$4,$R140))),3,0)+IF(Consulta!$B$6="Qualquer",0,IF($O140=Consulta!$B$6,2,-1))+IF(Consulta!$B$7="Não",0,IF($U140="Sim",3,IF($U140="Não",-6,0)))+IF(Consulta!$B$8="Qualquer",0,IF($C140=Consulta!$B$8,2,-3))+IF(Consulta!$B$9="Qualquer",0,IF($D140=Consulta!$B$9,2,-1))+IF($N140="",0,$N140)-ROW()/100000)))))</f>
        <v>7.9986</v>
      </c>
    </row>
    <row r="141" customFormat="false" ht="23.85" hidden="false" customHeight="false" outlineLevel="0" collapsed="false">
      <c r="A141" s="14" t="n">
        <v>14</v>
      </c>
      <c r="B141" s="15" t="s">
        <v>607</v>
      </c>
      <c r="C141" s="14" t="s">
        <v>161</v>
      </c>
      <c r="D141" s="14" t="s">
        <v>159</v>
      </c>
      <c r="E141" s="15" t="s">
        <v>608</v>
      </c>
      <c r="F141" s="14" t="s">
        <v>609</v>
      </c>
      <c r="G141" s="14" t="s">
        <v>610</v>
      </c>
      <c r="H141" s="14" t="s">
        <v>157</v>
      </c>
      <c r="I141" s="15" t="s">
        <v>611</v>
      </c>
      <c r="J141" s="14" t="s">
        <v>102</v>
      </c>
      <c r="K141" s="15" t="s">
        <v>204</v>
      </c>
      <c r="L141" s="16" t="s">
        <v>52</v>
      </c>
      <c r="M141" s="17"/>
      <c r="N141" s="16"/>
      <c r="O141" s="16"/>
      <c r="P141" s="18"/>
      <c r="Q141" s="16"/>
      <c r="R141" s="18"/>
      <c r="S141" s="16"/>
      <c r="T141" s="16"/>
      <c r="U141" s="16"/>
      <c r="V141" s="16"/>
      <c r="W141" s="16"/>
      <c r="X141" s="16"/>
      <c r="Y141" s="16"/>
      <c r="Z141" s="16"/>
      <c r="AA141" s="18"/>
      <c r="AB141" s="18"/>
      <c r="AC141" s="18"/>
      <c r="AD141" s="18"/>
      <c r="AE141" s="18"/>
      <c r="AF141" s="19" t="n">
        <f aca="false">IF($B141="","",IF(AND(Consulta!$B$11="Sim",$L141&lt;&gt;"Sim"),-9999,IF($H141=Consulta!$B$5,-9999,IF(AND(Consulta!$B$3&lt;&gt;"Qualquer",ISNUMBER(SEARCH(Consulta!$B$3,$AA141))),-9999,IF(AND(Consulta!$B$10="Sim",$V141&lt;&gt;"Sim"),-9999,IF(OR(Consulta!$B$3="Qualquer",ISNUMBER(SEARCH(Consulta!$B$3,$P141))),3,0)+IF(OR(Consulta!$B$12="Qualquer",ISNUMBER(SEARCH(Consulta!$B$12,$Q141))),2,0)+IF(OR(Consulta!$B$4="Qualquer",ISNUMBER(SEARCH(Consulta!$B$4,$R141))),3,0)+IF(Consulta!$B$6="Qualquer",0,IF($O141=Consulta!$B$6,2,-1))+IF(Consulta!$B$7="Não",0,IF($U141="Sim",3,IF($U141="Não",-6,0)))+IF(Consulta!$B$8="Qualquer",0,IF($C141=Consulta!$B$8,2,-3))+IF(Consulta!$B$9="Qualquer",0,IF($D141=Consulta!$B$9,2,-1))+IF($N141="",0,$N141)-ROW()/100000)))))</f>
        <v>7.99859</v>
      </c>
    </row>
    <row r="142" customFormat="false" ht="23.85" hidden="false" customHeight="false" outlineLevel="0" collapsed="false">
      <c r="A142" s="14" t="n">
        <v>14</v>
      </c>
      <c r="B142" s="15" t="s">
        <v>612</v>
      </c>
      <c r="C142" s="14" t="s">
        <v>161</v>
      </c>
      <c r="D142" s="14" t="s">
        <v>177</v>
      </c>
      <c r="E142" s="15" t="s">
        <v>613</v>
      </c>
      <c r="F142" s="14" t="s">
        <v>614</v>
      </c>
      <c r="G142" s="14" t="s">
        <v>615</v>
      </c>
      <c r="H142" s="14" t="s">
        <v>157</v>
      </c>
      <c r="I142" s="15" t="s">
        <v>616</v>
      </c>
      <c r="J142" s="14" t="s">
        <v>102</v>
      </c>
      <c r="K142" s="15" t="s">
        <v>325</v>
      </c>
      <c r="L142" s="16" t="s">
        <v>52</v>
      </c>
      <c r="M142" s="17"/>
      <c r="N142" s="16"/>
      <c r="O142" s="16"/>
      <c r="P142" s="18"/>
      <c r="Q142" s="16"/>
      <c r="R142" s="18"/>
      <c r="S142" s="16"/>
      <c r="T142" s="16"/>
      <c r="U142" s="16"/>
      <c r="V142" s="16"/>
      <c r="W142" s="16"/>
      <c r="X142" s="16"/>
      <c r="Y142" s="16"/>
      <c r="Z142" s="16"/>
      <c r="AA142" s="18"/>
      <c r="AB142" s="18"/>
      <c r="AC142" s="18"/>
      <c r="AD142" s="18"/>
      <c r="AE142" s="18"/>
      <c r="AF142" s="19" t="n">
        <f aca="false">IF($B142="","",IF(AND(Consulta!$B$11="Sim",$L142&lt;&gt;"Sim"),-9999,IF($H142=Consulta!$B$5,-9999,IF(AND(Consulta!$B$3&lt;&gt;"Qualquer",ISNUMBER(SEARCH(Consulta!$B$3,$AA142))),-9999,IF(AND(Consulta!$B$10="Sim",$V142&lt;&gt;"Sim"),-9999,IF(OR(Consulta!$B$3="Qualquer",ISNUMBER(SEARCH(Consulta!$B$3,$P142))),3,0)+IF(OR(Consulta!$B$12="Qualquer",ISNUMBER(SEARCH(Consulta!$B$12,$Q142))),2,0)+IF(OR(Consulta!$B$4="Qualquer",ISNUMBER(SEARCH(Consulta!$B$4,$R142))),3,0)+IF(Consulta!$B$6="Qualquer",0,IF($O142=Consulta!$B$6,2,-1))+IF(Consulta!$B$7="Não",0,IF($U142="Sim",3,IF($U142="Não",-6,0)))+IF(Consulta!$B$8="Qualquer",0,IF($C142=Consulta!$B$8,2,-3))+IF(Consulta!$B$9="Qualquer",0,IF($D142=Consulta!$B$9,2,-1))+IF($N142="",0,$N142)-ROW()/100000)))))</f>
        <v>7.99858</v>
      </c>
    </row>
    <row r="143" customFormat="false" ht="23.85" hidden="false" customHeight="false" outlineLevel="0" collapsed="false">
      <c r="A143" s="14" t="n">
        <v>14</v>
      </c>
      <c r="B143" s="15" t="s">
        <v>617</v>
      </c>
      <c r="C143" s="14" t="s">
        <v>161</v>
      </c>
      <c r="D143" s="14" t="s">
        <v>183</v>
      </c>
      <c r="E143" s="15" t="s">
        <v>618</v>
      </c>
      <c r="F143" s="14"/>
      <c r="G143" s="14" t="s">
        <v>619</v>
      </c>
      <c r="H143" s="14" t="s">
        <v>157</v>
      </c>
      <c r="I143" s="15" t="s">
        <v>620</v>
      </c>
      <c r="J143" s="14" t="s">
        <v>102</v>
      </c>
      <c r="K143" s="15" t="s">
        <v>387</v>
      </c>
      <c r="L143" s="16" t="s">
        <v>52</v>
      </c>
      <c r="M143" s="17"/>
      <c r="N143" s="16"/>
      <c r="O143" s="16"/>
      <c r="P143" s="18"/>
      <c r="Q143" s="16"/>
      <c r="R143" s="18"/>
      <c r="S143" s="16"/>
      <c r="T143" s="16"/>
      <c r="U143" s="16"/>
      <c r="V143" s="16"/>
      <c r="W143" s="16"/>
      <c r="X143" s="16"/>
      <c r="Y143" s="16"/>
      <c r="Z143" s="16"/>
      <c r="AA143" s="18"/>
      <c r="AB143" s="18"/>
      <c r="AC143" s="18"/>
      <c r="AD143" s="18"/>
      <c r="AE143" s="18"/>
      <c r="AF143" s="19" t="n">
        <f aca="false">IF($B143="","",IF(AND(Consulta!$B$11="Sim",$L143&lt;&gt;"Sim"),-9999,IF($H143=Consulta!$B$5,-9999,IF(AND(Consulta!$B$3&lt;&gt;"Qualquer",ISNUMBER(SEARCH(Consulta!$B$3,$AA143))),-9999,IF(AND(Consulta!$B$10="Sim",$V143&lt;&gt;"Sim"),-9999,IF(OR(Consulta!$B$3="Qualquer",ISNUMBER(SEARCH(Consulta!$B$3,$P143))),3,0)+IF(OR(Consulta!$B$12="Qualquer",ISNUMBER(SEARCH(Consulta!$B$12,$Q143))),2,0)+IF(OR(Consulta!$B$4="Qualquer",ISNUMBER(SEARCH(Consulta!$B$4,$R143))),3,0)+IF(Consulta!$B$6="Qualquer",0,IF($O143=Consulta!$B$6,2,-1))+IF(Consulta!$B$7="Não",0,IF($U143="Sim",3,IF($U143="Não",-6,0)))+IF(Consulta!$B$8="Qualquer",0,IF($C143=Consulta!$B$8,2,-3))+IF(Consulta!$B$9="Qualquer",0,IF($D143=Consulta!$B$9,2,-1))+IF($N143="",0,$N143)-ROW()/100000)))))</f>
        <v>7.99857</v>
      </c>
    </row>
    <row r="144" customFormat="false" ht="15" hidden="false" customHeight="false" outlineLevel="0" collapsed="false">
      <c r="A144" s="14" t="n">
        <v>14</v>
      </c>
      <c r="B144" s="15" t="s">
        <v>621</v>
      </c>
      <c r="C144" s="14" t="s">
        <v>161</v>
      </c>
      <c r="D144" s="14" t="s">
        <v>159</v>
      </c>
      <c r="E144" s="15" t="s">
        <v>622</v>
      </c>
      <c r="F144" s="14"/>
      <c r="G144" s="14" t="s">
        <v>623</v>
      </c>
      <c r="H144" s="14" t="s">
        <v>157</v>
      </c>
      <c r="I144" s="15" t="s">
        <v>624</v>
      </c>
      <c r="J144" s="14" t="s">
        <v>102</v>
      </c>
      <c r="K144" s="15" t="s">
        <v>204</v>
      </c>
      <c r="L144" s="16" t="s">
        <v>52</v>
      </c>
      <c r="M144" s="17"/>
      <c r="N144" s="16"/>
      <c r="O144" s="16"/>
      <c r="P144" s="18"/>
      <c r="Q144" s="16"/>
      <c r="R144" s="18"/>
      <c r="S144" s="16"/>
      <c r="T144" s="16"/>
      <c r="U144" s="16"/>
      <c r="V144" s="16"/>
      <c r="W144" s="16"/>
      <c r="X144" s="16"/>
      <c r="Y144" s="16"/>
      <c r="Z144" s="16"/>
      <c r="AA144" s="18"/>
      <c r="AB144" s="18"/>
      <c r="AC144" s="18"/>
      <c r="AD144" s="18"/>
      <c r="AE144" s="18"/>
      <c r="AF144" s="19" t="n">
        <f aca="false">IF($B144="","",IF(AND(Consulta!$B$11="Sim",$L144&lt;&gt;"Sim"),-9999,IF($H144=Consulta!$B$5,-9999,IF(AND(Consulta!$B$3&lt;&gt;"Qualquer",ISNUMBER(SEARCH(Consulta!$B$3,$AA144))),-9999,IF(AND(Consulta!$B$10="Sim",$V144&lt;&gt;"Sim"),-9999,IF(OR(Consulta!$B$3="Qualquer",ISNUMBER(SEARCH(Consulta!$B$3,$P144))),3,0)+IF(OR(Consulta!$B$12="Qualquer",ISNUMBER(SEARCH(Consulta!$B$12,$Q144))),2,0)+IF(OR(Consulta!$B$4="Qualquer",ISNUMBER(SEARCH(Consulta!$B$4,$R144))),3,0)+IF(Consulta!$B$6="Qualquer",0,IF($O144=Consulta!$B$6,2,-1))+IF(Consulta!$B$7="Não",0,IF($U144="Sim",3,IF($U144="Não",-6,0)))+IF(Consulta!$B$8="Qualquer",0,IF($C144=Consulta!$B$8,2,-3))+IF(Consulta!$B$9="Qualquer",0,IF($D144=Consulta!$B$9,2,-1))+IF($N144="",0,$N144)-ROW()/100000)))))</f>
        <v>7.99856</v>
      </c>
    </row>
    <row r="145" customFormat="false" ht="15" hidden="false" customHeight="false" outlineLevel="0" collapsed="false">
      <c r="A145" s="14" t="n">
        <v>14</v>
      </c>
      <c r="B145" s="15" t="s">
        <v>625</v>
      </c>
      <c r="C145" s="14" t="s">
        <v>161</v>
      </c>
      <c r="D145" s="14" t="s">
        <v>166</v>
      </c>
      <c r="E145" s="15" t="s">
        <v>626</v>
      </c>
      <c r="F145" s="14"/>
      <c r="G145" s="14" t="s">
        <v>627</v>
      </c>
      <c r="H145" s="14" t="s">
        <v>157</v>
      </c>
      <c r="I145" s="15" t="s">
        <v>628</v>
      </c>
      <c r="J145" s="14" t="s">
        <v>102</v>
      </c>
      <c r="K145" s="15" t="s">
        <v>387</v>
      </c>
      <c r="L145" s="16" t="s">
        <v>52</v>
      </c>
      <c r="M145" s="17"/>
      <c r="N145" s="16"/>
      <c r="O145" s="16"/>
      <c r="P145" s="18"/>
      <c r="Q145" s="16"/>
      <c r="R145" s="18"/>
      <c r="S145" s="16"/>
      <c r="T145" s="16"/>
      <c r="U145" s="16"/>
      <c r="V145" s="16"/>
      <c r="W145" s="16"/>
      <c r="X145" s="16"/>
      <c r="Y145" s="16"/>
      <c r="Z145" s="16"/>
      <c r="AA145" s="18"/>
      <c r="AB145" s="18"/>
      <c r="AC145" s="18"/>
      <c r="AD145" s="18"/>
      <c r="AE145" s="18"/>
      <c r="AF145" s="19" t="n">
        <f aca="false">IF($B145="","",IF(AND(Consulta!$B$11="Sim",$L145&lt;&gt;"Sim"),-9999,IF($H145=Consulta!$B$5,-9999,IF(AND(Consulta!$B$3&lt;&gt;"Qualquer",ISNUMBER(SEARCH(Consulta!$B$3,$AA145))),-9999,IF(AND(Consulta!$B$10="Sim",$V145&lt;&gt;"Sim"),-9999,IF(OR(Consulta!$B$3="Qualquer",ISNUMBER(SEARCH(Consulta!$B$3,$P145))),3,0)+IF(OR(Consulta!$B$12="Qualquer",ISNUMBER(SEARCH(Consulta!$B$12,$Q145))),2,0)+IF(OR(Consulta!$B$4="Qualquer",ISNUMBER(SEARCH(Consulta!$B$4,$R145))),3,0)+IF(Consulta!$B$6="Qualquer",0,IF($O145=Consulta!$B$6,2,-1))+IF(Consulta!$B$7="Não",0,IF($U145="Sim",3,IF($U145="Não",-6,0)))+IF(Consulta!$B$8="Qualquer",0,IF($C145=Consulta!$B$8,2,-3))+IF(Consulta!$B$9="Qualquer",0,IF($D145=Consulta!$B$9,2,-1))+IF($N145="",0,$N145)-ROW()/100000)))))</f>
        <v>7.99855</v>
      </c>
    </row>
    <row r="146" customFormat="false" ht="15" hidden="false" customHeight="false" outlineLevel="0" collapsed="false">
      <c r="A146" s="14" t="n">
        <v>14</v>
      </c>
      <c r="B146" s="15" t="s">
        <v>629</v>
      </c>
      <c r="C146" s="14" t="s">
        <v>161</v>
      </c>
      <c r="D146" s="14" t="s">
        <v>159</v>
      </c>
      <c r="E146" s="15" t="s">
        <v>630</v>
      </c>
      <c r="F146" s="14"/>
      <c r="G146" s="14"/>
      <c r="H146" s="14" t="s">
        <v>157</v>
      </c>
      <c r="I146" s="15" t="s">
        <v>631</v>
      </c>
      <c r="J146" s="14" t="s">
        <v>102</v>
      </c>
      <c r="K146" s="15" t="s">
        <v>204</v>
      </c>
      <c r="L146" s="16" t="s">
        <v>52</v>
      </c>
      <c r="M146" s="17"/>
      <c r="N146" s="16"/>
      <c r="O146" s="16"/>
      <c r="P146" s="18"/>
      <c r="Q146" s="16"/>
      <c r="R146" s="18"/>
      <c r="S146" s="16"/>
      <c r="T146" s="16"/>
      <c r="U146" s="16"/>
      <c r="V146" s="16"/>
      <c r="W146" s="16"/>
      <c r="X146" s="16"/>
      <c r="Y146" s="16"/>
      <c r="Z146" s="16"/>
      <c r="AA146" s="18"/>
      <c r="AB146" s="18"/>
      <c r="AC146" s="18"/>
      <c r="AD146" s="18"/>
      <c r="AE146" s="18"/>
      <c r="AF146" s="19" t="n">
        <f aca="false">IF($B146="","",IF(AND(Consulta!$B$11="Sim",$L146&lt;&gt;"Sim"),-9999,IF($H146=Consulta!$B$5,-9999,IF(AND(Consulta!$B$3&lt;&gt;"Qualquer",ISNUMBER(SEARCH(Consulta!$B$3,$AA146))),-9999,IF(AND(Consulta!$B$10="Sim",$V146&lt;&gt;"Sim"),-9999,IF(OR(Consulta!$B$3="Qualquer",ISNUMBER(SEARCH(Consulta!$B$3,$P146))),3,0)+IF(OR(Consulta!$B$12="Qualquer",ISNUMBER(SEARCH(Consulta!$B$12,$Q146))),2,0)+IF(OR(Consulta!$B$4="Qualquer",ISNUMBER(SEARCH(Consulta!$B$4,$R146))),3,0)+IF(Consulta!$B$6="Qualquer",0,IF($O146=Consulta!$B$6,2,-1))+IF(Consulta!$B$7="Não",0,IF($U146="Sim",3,IF($U146="Não",-6,0)))+IF(Consulta!$B$8="Qualquer",0,IF($C146=Consulta!$B$8,2,-3))+IF(Consulta!$B$9="Qualquer",0,IF($D146=Consulta!$B$9,2,-1))+IF($N146="",0,$N146)-ROW()/100000)))))</f>
        <v>7.99854</v>
      </c>
    </row>
    <row r="147" customFormat="false" ht="15" hidden="false" customHeight="false" outlineLevel="0" collapsed="false">
      <c r="A147" s="14" t="n">
        <v>14</v>
      </c>
      <c r="B147" s="15" t="s">
        <v>632</v>
      </c>
      <c r="C147" s="14" t="s">
        <v>161</v>
      </c>
      <c r="D147" s="14" t="s">
        <v>181</v>
      </c>
      <c r="E147" s="15" t="s">
        <v>633</v>
      </c>
      <c r="F147" s="14"/>
      <c r="G147" s="14" t="s">
        <v>634</v>
      </c>
      <c r="H147" s="14" t="s">
        <v>157</v>
      </c>
      <c r="I147" s="15" t="s">
        <v>635</v>
      </c>
      <c r="J147" s="14" t="s">
        <v>102</v>
      </c>
      <c r="K147" s="15" t="s">
        <v>330</v>
      </c>
      <c r="L147" s="16" t="s">
        <v>52</v>
      </c>
      <c r="M147" s="17"/>
      <c r="N147" s="16"/>
      <c r="O147" s="16"/>
      <c r="P147" s="18"/>
      <c r="Q147" s="16"/>
      <c r="R147" s="18"/>
      <c r="S147" s="16"/>
      <c r="T147" s="16"/>
      <c r="U147" s="16"/>
      <c r="V147" s="16"/>
      <c r="W147" s="16"/>
      <c r="X147" s="16"/>
      <c r="Y147" s="16"/>
      <c r="Z147" s="16"/>
      <c r="AA147" s="18"/>
      <c r="AB147" s="18"/>
      <c r="AC147" s="18"/>
      <c r="AD147" s="18"/>
      <c r="AE147" s="18"/>
      <c r="AF147" s="19" t="n">
        <f aca="false">IF($B147="","",IF(AND(Consulta!$B$11="Sim",$L147&lt;&gt;"Sim"),-9999,IF($H147=Consulta!$B$5,-9999,IF(AND(Consulta!$B$3&lt;&gt;"Qualquer",ISNUMBER(SEARCH(Consulta!$B$3,$AA147))),-9999,IF(AND(Consulta!$B$10="Sim",$V147&lt;&gt;"Sim"),-9999,IF(OR(Consulta!$B$3="Qualquer",ISNUMBER(SEARCH(Consulta!$B$3,$P147))),3,0)+IF(OR(Consulta!$B$12="Qualquer",ISNUMBER(SEARCH(Consulta!$B$12,$Q147))),2,0)+IF(OR(Consulta!$B$4="Qualquer",ISNUMBER(SEARCH(Consulta!$B$4,$R147))),3,0)+IF(Consulta!$B$6="Qualquer",0,IF($O147=Consulta!$B$6,2,-1))+IF(Consulta!$B$7="Não",0,IF($U147="Sim",3,IF($U147="Não",-6,0)))+IF(Consulta!$B$8="Qualquer",0,IF($C147=Consulta!$B$8,2,-3))+IF(Consulta!$B$9="Qualquer",0,IF($D147=Consulta!$B$9,2,-1))+IF($N147="",0,$N147)-ROW()/100000)))))</f>
        <v>7.99853</v>
      </c>
    </row>
    <row r="148" customFormat="false" ht="23.85" hidden="false" customHeight="false" outlineLevel="0" collapsed="false">
      <c r="A148" s="14" t="n">
        <v>14</v>
      </c>
      <c r="B148" s="15" t="s">
        <v>636</v>
      </c>
      <c r="C148" s="14" t="s">
        <v>161</v>
      </c>
      <c r="D148" s="14" t="s">
        <v>166</v>
      </c>
      <c r="E148" s="15" t="s">
        <v>637</v>
      </c>
      <c r="F148" s="14"/>
      <c r="G148" s="14" t="s">
        <v>638</v>
      </c>
      <c r="H148" s="14" t="s">
        <v>157</v>
      </c>
      <c r="I148" s="15" t="s">
        <v>639</v>
      </c>
      <c r="J148" s="14" t="s">
        <v>102</v>
      </c>
      <c r="K148" s="15" t="s">
        <v>387</v>
      </c>
      <c r="L148" s="16" t="s">
        <v>52</v>
      </c>
      <c r="M148" s="17"/>
      <c r="N148" s="16"/>
      <c r="O148" s="16"/>
      <c r="P148" s="18"/>
      <c r="Q148" s="16"/>
      <c r="R148" s="18"/>
      <c r="S148" s="16"/>
      <c r="T148" s="16"/>
      <c r="U148" s="16"/>
      <c r="V148" s="16"/>
      <c r="W148" s="16"/>
      <c r="X148" s="16"/>
      <c r="Y148" s="16"/>
      <c r="Z148" s="16"/>
      <c r="AA148" s="18"/>
      <c r="AB148" s="18"/>
      <c r="AC148" s="18"/>
      <c r="AD148" s="18"/>
      <c r="AE148" s="18"/>
      <c r="AF148" s="19" t="n">
        <f aca="false">IF($B148="","",IF(AND(Consulta!$B$11="Sim",$L148&lt;&gt;"Sim"),-9999,IF($H148=Consulta!$B$5,-9999,IF(AND(Consulta!$B$3&lt;&gt;"Qualquer",ISNUMBER(SEARCH(Consulta!$B$3,$AA148))),-9999,IF(AND(Consulta!$B$10="Sim",$V148&lt;&gt;"Sim"),-9999,IF(OR(Consulta!$B$3="Qualquer",ISNUMBER(SEARCH(Consulta!$B$3,$P148))),3,0)+IF(OR(Consulta!$B$12="Qualquer",ISNUMBER(SEARCH(Consulta!$B$12,$Q148))),2,0)+IF(OR(Consulta!$B$4="Qualquer",ISNUMBER(SEARCH(Consulta!$B$4,$R148))),3,0)+IF(Consulta!$B$6="Qualquer",0,IF($O148=Consulta!$B$6,2,-1))+IF(Consulta!$B$7="Não",0,IF($U148="Sim",3,IF($U148="Não",-6,0)))+IF(Consulta!$B$8="Qualquer",0,IF($C148=Consulta!$B$8,2,-3))+IF(Consulta!$B$9="Qualquer",0,IF($D148=Consulta!$B$9,2,-1))+IF($N148="",0,$N148)-ROW()/100000)))))</f>
        <v>7.99852</v>
      </c>
    </row>
    <row r="149" customFormat="false" ht="23.85" hidden="false" customHeight="false" outlineLevel="0" collapsed="false">
      <c r="A149" s="14" t="n">
        <v>15</v>
      </c>
      <c r="B149" s="15" t="s">
        <v>640</v>
      </c>
      <c r="C149" s="14" t="s">
        <v>169</v>
      </c>
      <c r="D149" s="14" t="s">
        <v>162</v>
      </c>
      <c r="E149" s="15" t="s">
        <v>641</v>
      </c>
      <c r="F149" s="14"/>
      <c r="G149" s="14" t="s">
        <v>642</v>
      </c>
      <c r="H149" s="14"/>
      <c r="I149" s="15" t="s">
        <v>643</v>
      </c>
      <c r="J149" s="14" t="s">
        <v>114</v>
      </c>
      <c r="K149" s="15" t="s">
        <v>644</v>
      </c>
      <c r="L149" s="16" t="s">
        <v>52</v>
      </c>
      <c r="M149" s="17"/>
      <c r="N149" s="16"/>
      <c r="O149" s="16"/>
      <c r="P149" s="18"/>
      <c r="Q149" s="16"/>
      <c r="R149" s="18"/>
      <c r="S149" s="16"/>
      <c r="T149" s="16"/>
      <c r="U149" s="16"/>
      <c r="V149" s="16"/>
      <c r="W149" s="16"/>
      <c r="X149" s="16"/>
      <c r="Y149" s="16"/>
      <c r="Z149" s="16"/>
      <c r="AA149" s="18"/>
      <c r="AB149" s="18"/>
      <c r="AC149" s="18"/>
      <c r="AD149" s="18"/>
      <c r="AE149" s="18"/>
      <c r="AF149" s="19" t="n">
        <f aca="false">IF($B149="","",IF(AND(Consulta!$B$11="Sim",$L149&lt;&gt;"Sim"),-9999,IF($H149=Consulta!$B$5,-9999,IF(AND(Consulta!$B$3&lt;&gt;"Qualquer",ISNUMBER(SEARCH(Consulta!$B$3,$AA149))),-9999,IF(AND(Consulta!$B$10="Sim",$V149&lt;&gt;"Sim"),-9999,IF(OR(Consulta!$B$3="Qualquer",ISNUMBER(SEARCH(Consulta!$B$3,$P149))),3,0)+IF(OR(Consulta!$B$12="Qualquer",ISNUMBER(SEARCH(Consulta!$B$12,$Q149))),2,0)+IF(OR(Consulta!$B$4="Qualquer",ISNUMBER(SEARCH(Consulta!$B$4,$R149))),3,0)+IF(Consulta!$B$6="Qualquer",0,IF($O149=Consulta!$B$6,2,-1))+IF(Consulta!$B$7="Não",0,IF($U149="Sim",3,IF($U149="Não",-6,0)))+IF(Consulta!$B$8="Qualquer",0,IF($C149=Consulta!$B$8,2,-3))+IF(Consulta!$B$9="Qualquer",0,IF($D149=Consulta!$B$9,2,-1))+IF($N149="",0,$N149)-ROW()/100000)))))</f>
        <v>7.99851</v>
      </c>
    </row>
    <row r="150" customFormat="false" ht="23.85" hidden="false" customHeight="false" outlineLevel="0" collapsed="false">
      <c r="A150" s="14" t="n">
        <v>15</v>
      </c>
      <c r="B150" s="15" t="s">
        <v>645</v>
      </c>
      <c r="C150" s="14" t="s">
        <v>169</v>
      </c>
      <c r="D150" s="14" t="s">
        <v>162</v>
      </c>
      <c r="E150" s="15" t="s">
        <v>646</v>
      </c>
      <c r="F150" s="14"/>
      <c r="G150" s="14" t="s">
        <v>647</v>
      </c>
      <c r="H150" s="14"/>
      <c r="I150" s="15" t="s">
        <v>648</v>
      </c>
      <c r="J150" s="14" t="s">
        <v>114</v>
      </c>
      <c r="K150" s="15" t="s">
        <v>649</v>
      </c>
      <c r="L150" s="16" t="s">
        <v>52</v>
      </c>
      <c r="M150" s="17"/>
      <c r="N150" s="16"/>
      <c r="O150" s="16"/>
      <c r="P150" s="18"/>
      <c r="Q150" s="16"/>
      <c r="R150" s="18"/>
      <c r="S150" s="16"/>
      <c r="T150" s="16"/>
      <c r="U150" s="16"/>
      <c r="V150" s="16"/>
      <c r="W150" s="16"/>
      <c r="X150" s="16"/>
      <c r="Y150" s="16"/>
      <c r="Z150" s="16"/>
      <c r="AA150" s="18"/>
      <c r="AB150" s="18"/>
      <c r="AC150" s="18"/>
      <c r="AD150" s="18"/>
      <c r="AE150" s="18"/>
      <c r="AF150" s="19" t="n">
        <f aca="false">IF($B150="","",IF(AND(Consulta!$B$11="Sim",$L150&lt;&gt;"Sim"),-9999,IF($H150=Consulta!$B$5,-9999,IF(AND(Consulta!$B$3&lt;&gt;"Qualquer",ISNUMBER(SEARCH(Consulta!$B$3,$AA150))),-9999,IF(AND(Consulta!$B$10="Sim",$V150&lt;&gt;"Sim"),-9999,IF(OR(Consulta!$B$3="Qualquer",ISNUMBER(SEARCH(Consulta!$B$3,$P150))),3,0)+IF(OR(Consulta!$B$12="Qualquer",ISNUMBER(SEARCH(Consulta!$B$12,$Q150))),2,0)+IF(OR(Consulta!$B$4="Qualquer",ISNUMBER(SEARCH(Consulta!$B$4,$R150))),3,0)+IF(Consulta!$B$6="Qualquer",0,IF($O150=Consulta!$B$6,2,-1))+IF(Consulta!$B$7="Não",0,IF($U150="Sim",3,IF($U150="Não",-6,0)))+IF(Consulta!$B$8="Qualquer",0,IF($C150=Consulta!$B$8,2,-3))+IF(Consulta!$B$9="Qualquer",0,IF($D150=Consulta!$B$9,2,-1))+IF($N150="",0,$N150)-ROW()/100000)))))</f>
        <v>7.9985</v>
      </c>
    </row>
    <row r="151" customFormat="false" ht="23.85" hidden="false" customHeight="false" outlineLevel="0" collapsed="false">
      <c r="A151" s="14" t="n">
        <v>15</v>
      </c>
      <c r="B151" s="15" t="s">
        <v>650</v>
      </c>
      <c r="C151" s="14" t="s">
        <v>169</v>
      </c>
      <c r="D151" s="14" t="s">
        <v>162</v>
      </c>
      <c r="E151" s="15" t="s">
        <v>651</v>
      </c>
      <c r="F151" s="14"/>
      <c r="G151" s="14" t="s">
        <v>652</v>
      </c>
      <c r="H151" s="14"/>
      <c r="I151" s="15" t="s">
        <v>653</v>
      </c>
      <c r="J151" s="14" t="s">
        <v>114</v>
      </c>
      <c r="K151" s="15" t="s">
        <v>654</v>
      </c>
      <c r="L151" s="16" t="s">
        <v>52</v>
      </c>
      <c r="M151" s="17"/>
      <c r="N151" s="16"/>
      <c r="O151" s="16"/>
      <c r="P151" s="18"/>
      <c r="Q151" s="16"/>
      <c r="R151" s="18"/>
      <c r="S151" s="16"/>
      <c r="T151" s="16"/>
      <c r="U151" s="16"/>
      <c r="V151" s="16"/>
      <c r="W151" s="16"/>
      <c r="X151" s="16"/>
      <c r="Y151" s="16"/>
      <c r="Z151" s="16"/>
      <c r="AA151" s="18"/>
      <c r="AB151" s="18"/>
      <c r="AC151" s="18"/>
      <c r="AD151" s="18"/>
      <c r="AE151" s="18"/>
      <c r="AF151" s="19" t="n">
        <f aca="false">IF($B151="","",IF(AND(Consulta!$B$11="Sim",$L151&lt;&gt;"Sim"),-9999,IF($H151=Consulta!$B$5,-9999,IF(AND(Consulta!$B$3&lt;&gt;"Qualquer",ISNUMBER(SEARCH(Consulta!$B$3,$AA151))),-9999,IF(AND(Consulta!$B$10="Sim",$V151&lt;&gt;"Sim"),-9999,IF(OR(Consulta!$B$3="Qualquer",ISNUMBER(SEARCH(Consulta!$B$3,$P151))),3,0)+IF(OR(Consulta!$B$12="Qualquer",ISNUMBER(SEARCH(Consulta!$B$12,$Q151))),2,0)+IF(OR(Consulta!$B$4="Qualquer",ISNUMBER(SEARCH(Consulta!$B$4,$R151))),3,0)+IF(Consulta!$B$6="Qualquer",0,IF($O151=Consulta!$B$6,2,-1))+IF(Consulta!$B$7="Não",0,IF($U151="Sim",3,IF($U151="Não",-6,0)))+IF(Consulta!$B$8="Qualquer",0,IF($C151=Consulta!$B$8,2,-3))+IF(Consulta!$B$9="Qualquer",0,IF($D151=Consulta!$B$9,2,-1))+IF($N151="",0,$N151)-ROW()/100000)))))</f>
        <v>7.99849</v>
      </c>
    </row>
    <row r="152" customFormat="false" ht="23.85" hidden="false" customHeight="false" outlineLevel="0" collapsed="false">
      <c r="A152" s="14" t="n">
        <v>15</v>
      </c>
      <c r="B152" s="15" t="s">
        <v>655</v>
      </c>
      <c r="C152" s="14" t="s">
        <v>169</v>
      </c>
      <c r="D152" s="14" t="s">
        <v>162</v>
      </c>
      <c r="E152" s="15" t="s">
        <v>656</v>
      </c>
      <c r="F152" s="14"/>
      <c r="G152" s="14" t="s">
        <v>657</v>
      </c>
      <c r="H152" s="14"/>
      <c r="I152" s="15" t="s">
        <v>658</v>
      </c>
      <c r="J152" s="14" t="s">
        <v>114</v>
      </c>
      <c r="K152" s="15" t="s">
        <v>659</v>
      </c>
      <c r="L152" s="16" t="s">
        <v>52</v>
      </c>
      <c r="M152" s="17"/>
      <c r="N152" s="16"/>
      <c r="O152" s="16"/>
      <c r="P152" s="18"/>
      <c r="Q152" s="16"/>
      <c r="R152" s="18"/>
      <c r="S152" s="16"/>
      <c r="T152" s="16"/>
      <c r="U152" s="16"/>
      <c r="V152" s="16"/>
      <c r="W152" s="16"/>
      <c r="X152" s="16"/>
      <c r="Y152" s="16"/>
      <c r="Z152" s="16"/>
      <c r="AA152" s="18"/>
      <c r="AB152" s="18"/>
      <c r="AC152" s="18"/>
      <c r="AD152" s="18"/>
      <c r="AE152" s="18"/>
      <c r="AF152" s="19" t="n">
        <f aca="false">IF($B152="","",IF(AND(Consulta!$B$11="Sim",$L152&lt;&gt;"Sim"),-9999,IF($H152=Consulta!$B$5,-9999,IF(AND(Consulta!$B$3&lt;&gt;"Qualquer",ISNUMBER(SEARCH(Consulta!$B$3,$AA152))),-9999,IF(AND(Consulta!$B$10="Sim",$V152&lt;&gt;"Sim"),-9999,IF(OR(Consulta!$B$3="Qualquer",ISNUMBER(SEARCH(Consulta!$B$3,$P152))),3,0)+IF(OR(Consulta!$B$12="Qualquer",ISNUMBER(SEARCH(Consulta!$B$12,$Q152))),2,0)+IF(OR(Consulta!$B$4="Qualquer",ISNUMBER(SEARCH(Consulta!$B$4,$R152))),3,0)+IF(Consulta!$B$6="Qualquer",0,IF($O152=Consulta!$B$6,2,-1))+IF(Consulta!$B$7="Não",0,IF($U152="Sim",3,IF($U152="Não",-6,0)))+IF(Consulta!$B$8="Qualquer",0,IF($C152=Consulta!$B$8,2,-3))+IF(Consulta!$B$9="Qualquer",0,IF($D152=Consulta!$B$9,2,-1))+IF($N152="",0,$N152)-ROW()/100000)))))</f>
        <v>7.99848</v>
      </c>
    </row>
    <row r="153" customFormat="false" ht="23.85" hidden="false" customHeight="false" outlineLevel="0" collapsed="false">
      <c r="A153" s="14" t="n">
        <v>15</v>
      </c>
      <c r="B153" s="15" t="s">
        <v>660</v>
      </c>
      <c r="C153" s="14" t="s">
        <v>169</v>
      </c>
      <c r="D153" s="14" t="s">
        <v>162</v>
      </c>
      <c r="E153" s="15" t="s">
        <v>661</v>
      </c>
      <c r="F153" s="14"/>
      <c r="G153" s="14" t="s">
        <v>662</v>
      </c>
      <c r="H153" s="14"/>
      <c r="I153" s="15" t="s">
        <v>663</v>
      </c>
      <c r="J153" s="14" t="s">
        <v>114</v>
      </c>
      <c r="K153" s="15" t="s">
        <v>659</v>
      </c>
      <c r="L153" s="16" t="s">
        <v>52</v>
      </c>
      <c r="M153" s="17"/>
      <c r="N153" s="16"/>
      <c r="O153" s="16"/>
      <c r="P153" s="18"/>
      <c r="Q153" s="16"/>
      <c r="R153" s="18"/>
      <c r="S153" s="16"/>
      <c r="T153" s="16"/>
      <c r="U153" s="16"/>
      <c r="V153" s="16"/>
      <c r="W153" s="16"/>
      <c r="X153" s="16"/>
      <c r="Y153" s="16"/>
      <c r="Z153" s="16"/>
      <c r="AA153" s="18"/>
      <c r="AB153" s="18"/>
      <c r="AC153" s="18"/>
      <c r="AD153" s="18"/>
      <c r="AE153" s="18"/>
      <c r="AF153" s="19" t="n">
        <f aca="false">IF($B153="","",IF(AND(Consulta!$B$11="Sim",$L153&lt;&gt;"Sim"),-9999,IF($H153=Consulta!$B$5,-9999,IF(AND(Consulta!$B$3&lt;&gt;"Qualquer",ISNUMBER(SEARCH(Consulta!$B$3,$AA153))),-9999,IF(AND(Consulta!$B$10="Sim",$V153&lt;&gt;"Sim"),-9999,IF(OR(Consulta!$B$3="Qualquer",ISNUMBER(SEARCH(Consulta!$B$3,$P153))),3,0)+IF(OR(Consulta!$B$12="Qualquer",ISNUMBER(SEARCH(Consulta!$B$12,$Q153))),2,0)+IF(OR(Consulta!$B$4="Qualquer",ISNUMBER(SEARCH(Consulta!$B$4,$R153))),3,0)+IF(Consulta!$B$6="Qualquer",0,IF($O153=Consulta!$B$6,2,-1))+IF(Consulta!$B$7="Não",0,IF($U153="Sim",3,IF($U153="Não",-6,0)))+IF(Consulta!$B$8="Qualquer",0,IF($C153=Consulta!$B$8,2,-3))+IF(Consulta!$B$9="Qualquer",0,IF($D153=Consulta!$B$9,2,-1))+IF($N153="",0,$N153)-ROW()/100000)))))</f>
        <v>7.99847</v>
      </c>
    </row>
    <row r="154" customFormat="false" ht="23.85" hidden="false" customHeight="false" outlineLevel="0" collapsed="false">
      <c r="A154" s="14" t="n">
        <v>15</v>
      </c>
      <c r="B154" s="15" t="s">
        <v>664</v>
      </c>
      <c r="C154" s="14" t="s">
        <v>169</v>
      </c>
      <c r="D154" s="14" t="s">
        <v>162</v>
      </c>
      <c r="E154" s="15" t="s">
        <v>665</v>
      </c>
      <c r="F154" s="14"/>
      <c r="G154" s="14" t="s">
        <v>666</v>
      </c>
      <c r="H154" s="14"/>
      <c r="I154" s="15" t="s">
        <v>667</v>
      </c>
      <c r="J154" s="14" t="s">
        <v>102</v>
      </c>
      <c r="K154" s="15" t="s">
        <v>668</v>
      </c>
      <c r="L154" s="16" t="s">
        <v>52</v>
      </c>
      <c r="M154" s="17"/>
      <c r="N154" s="16"/>
      <c r="O154" s="16"/>
      <c r="P154" s="18"/>
      <c r="Q154" s="16"/>
      <c r="R154" s="18"/>
      <c r="S154" s="16"/>
      <c r="T154" s="16"/>
      <c r="U154" s="16"/>
      <c r="V154" s="16"/>
      <c r="W154" s="16"/>
      <c r="X154" s="16"/>
      <c r="Y154" s="16"/>
      <c r="Z154" s="16"/>
      <c r="AA154" s="18"/>
      <c r="AB154" s="18"/>
      <c r="AC154" s="18"/>
      <c r="AD154" s="18"/>
      <c r="AE154" s="18"/>
      <c r="AF154" s="19" t="n">
        <f aca="false">IF($B154="","",IF(AND(Consulta!$B$11="Sim",$L154&lt;&gt;"Sim"),-9999,IF($H154=Consulta!$B$5,-9999,IF(AND(Consulta!$B$3&lt;&gt;"Qualquer",ISNUMBER(SEARCH(Consulta!$B$3,$AA154))),-9999,IF(AND(Consulta!$B$10="Sim",$V154&lt;&gt;"Sim"),-9999,IF(OR(Consulta!$B$3="Qualquer",ISNUMBER(SEARCH(Consulta!$B$3,$P154))),3,0)+IF(OR(Consulta!$B$12="Qualquer",ISNUMBER(SEARCH(Consulta!$B$12,$Q154))),2,0)+IF(OR(Consulta!$B$4="Qualquer",ISNUMBER(SEARCH(Consulta!$B$4,$R154))),3,0)+IF(Consulta!$B$6="Qualquer",0,IF($O154=Consulta!$B$6,2,-1))+IF(Consulta!$B$7="Não",0,IF($U154="Sim",3,IF($U154="Não",-6,0)))+IF(Consulta!$B$8="Qualquer",0,IF($C154=Consulta!$B$8,2,-3))+IF(Consulta!$B$9="Qualquer",0,IF($D154=Consulta!$B$9,2,-1))+IF($N154="",0,$N154)-ROW()/100000)))))</f>
        <v>7.99846</v>
      </c>
    </row>
    <row r="155" customFormat="false" ht="23.85" hidden="false" customHeight="false" outlineLevel="0" collapsed="false">
      <c r="A155" s="14" t="n">
        <v>15</v>
      </c>
      <c r="B155" s="15" t="s">
        <v>669</v>
      </c>
      <c r="C155" s="14" t="s">
        <v>169</v>
      </c>
      <c r="D155" s="14" t="s">
        <v>162</v>
      </c>
      <c r="E155" s="15" t="s">
        <v>670</v>
      </c>
      <c r="F155" s="14" t="s">
        <v>671</v>
      </c>
      <c r="G155" s="14" t="s">
        <v>672</v>
      </c>
      <c r="H155" s="14"/>
      <c r="I155" s="15" t="s">
        <v>673</v>
      </c>
      <c r="J155" s="14" t="s">
        <v>114</v>
      </c>
      <c r="K155" s="15" t="s">
        <v>674</v>
      </c>
      <c r="L155" s="16" t="s">
        <v>52</v>
      </c>
      <c r="M155" s="17"/>
      <c r="N155" s="16"/>
      <c r="O155" s="16"/>
      <c r="P155" s="18"/>
      <c r="Q155" s="16"/>
      <c r="R155" s="18"/>
      <c r="S155" s="16"/>
      <c r="T155" s="16"/>
      <c r="U155" s="16"/>
      <c r="V155" s="16"/>
      <c r="W155" s="16"/>
      <c r="X155" s="16"/>
      <c r="Y155" s="16"/>
      <c r="Z155" s="16"/>
      <c r="AA155" s="18"/>
      <c r="AB155" s="18"/>
      <c r="AC155" s="18"/>
      <c r="AD155" s="18"/>
      <c r="AE155" s="18"/>
      <c r="AF155" s="19" t="n">
        <f aca="false">IF($B155="","",IF(AND(Consulta!$B$11="Sim",$L155&lt;&gt;"Sim"),-9999,IF($H155=Consulta!$B$5,-9999,IF(AND(Consulta!$B$3&lt;&gt;"Qualquer",ISNUMBER(SEARCH(Consulta!$B$3,$AA155))),-9999,IF(AND(Consulta!$B$10="Sim",$V155&lt;&gt;"Sim"),-9999,IF(OR(Consulta!$B$3="Qualquer",ISNUMBER(SEARCH(Consulta!$B$3,$P155))),3,0)+IF(OR(Consulta!$B$12="Qualquer",ISNUMBER(SEARCH(Consulta!$B$12,$Q155))),2,0)+IF(OR(Consulta!$B$4="Qualquer",ISNUMBER(SEARCH(Consulta!$B$4,$R155))),3,0)+IF(Consulta!$B$6="Qualquer",0,IF($O155=Consulta!$B$6,2,-1))+IF(Consulta!$B$7="Não",0,IF($U155="Sim",3,IF($U155="Não",-6,0)))+IF(Consulta!$B$8="Qualquer",0,IF($C155=Consulta!$B$8,2,-3))+IF(Consulta!$B$9="Qualquer",0,IF($D155=Consulta!$B$9,2,-1))+IF($N155="",0,$N155)-ROW()/100000)))))</f>
        <v>7.99845</v>
      </c>
    </row>
    <row r="156" customFormat="false" ht="23.85" hidden="false" customHeight="false" outlineLevel="0" collapsed="false">
      <c r="A156" s="14" t="n">
        <v>15</v>
      </c>
      <c r="B156" s="15" t="s">
        <v>675</v>
      </c>
      <c r="C156" s="14" t="s">
        <v>169</v>
      </c>
      <c r="D156" s="14" t="s">
        <v>162</v>
      </c>
      <c r="E156" s="15" t="s">
        <v>676</v>
      </c>
      <c r="F156" s="14"/>
      <c r="G156" s="14" t="s">
        <v>677</v>
      </c>
      <c r="H156" s="14"/>
      <c r="I156" s="15" t="s">
        <v>678</v>
      </c>
      <c r="J156" s="14" t="s">
        <v>114</v>
      </c>
      <c r="K156" s="15" t="s">
        <v>679</v>
      </c>
      <c r="L156" s="16" t="s">
        <v>52</v>
      </c>
      <c r="M156" s="17"/>
      <c r="N156" s="16"/>
      <c r="O156" s="16"/>
      <c r="P156" s="18"/>
      <c r="Q156" s="16"/>
      <c r="R156" s="18"/>
      <c r="S156" s="16"/>
      <c r="T156" s="16"/>
      <c r="U156" s="16"/>
      <c r="V156" s="16"/>
      <c r="W156" s="16"/>
      <c r="X156" s="16"/>
      <c r="Y156" s="16"/>
      <c r="Z156" s="16"/>
      <c r="AA156" s="18"/>
      <c r="AB156" s="18"/>
      <c r="AC156" s="18"/>
      <c r="AD156" s="18"/>
      <c r="AE156" s="18"/>
      <c r="AF156" s="19" t="n">
        <f aca="false">IF($B156="","",IF(AND(Consulta!$B$11="Sim",$L156&lt;&gt;"Sim"),-9999,IF($H156=Consulta!$B$5,-9999,IF(AND(Consulta!$B$3&lt;&gt;"Qualquer",ISNUMBER(SEARCH(Consulta!$B$3,$AA156))),-9999,IF(AND(Consulta!$B$10="Sim",$V156&lt;&gt;"Sim"),-9999,IF(OR(Consulta!$B$3="Qualquer",ISNUMBER(SEARCH(Consulta!$B$3,$P156))),3,0)+IF(OR(Consulta!$B$12="Qualquer",ISNUMBER(SEARCH(Consulta!$B$12,$Q156))),2,0)+IF(OR(Consulta!$B$4="Qualquer",ISNUMBER(SEARCH(Consulta!$B$4,$R156))),3,0)+IF(Consulta!$B$6="Qualquer",0,IF($O156=Consulta!$B$6,2,-1))+IF(Consulta!$B$7="Não",0,IF($U156="Sim",3,IF($U156="Não",-6,0)))+IF(Consulta!$B$8="Qualquer",0,IF($C156=Consulta!$B$8,2,-3))+IF(Consulta!$B$9="Qualquer",0,IF($D156=Consulta!$B$9,2,-1))+IF($N156="",0,$N156)-ROW()/100000)))))</f>
        <v>7.99844</v>
      </c>
    </row>
    <row r="157" customFormat="false" ht="23.85" hidden="false" customHeight="false" outlineLevel="0" collapsed="false">
      <c r="A157" s="14" t="n">
        <v>15</v>
      </c>
      <c r="B157" s="15" t="s">
        <v>680</v>
      </c>
      <c r="C157" s="14" t="s">
        <v>169</v>
      </c>
      <c r="D157" s="14" t="s">
        <v>162</v>
      </c>
      <c r="E157" s="15" t="s">
        <v>681</v>
      </c>
      <c r="F157" s="14" t="s">
        <v>682</v>
      </c>
      <c r="G157" s="14" t="s">
        <v>683</v>
      </c>
      <c r="H157" s="14"/>
      <c r="I157" s="15" t="s">
        <v>684</v>
      </c>
      <c r="J157" s="14" t="s">
        <v>114</v>
      </c>
      <c r="K157" s="15" t="s">
        <v>685</v>
      </c>
      <c r="L157" s="16" t="s">
        <v>52</v>
      </c>
      <c r="M157" s="17"/>
      <c r="N157" s="16"/>
      <c r="O157" s="16"/>
      <c r="P157" s="18"/>
      <c r="Q157" s="16"/>
      <c r="R157" s="18"/>
      <c r="S157" s="16"/>
      <c r="T157" s="16"/>
      <c r="U157" s="16"/>
      <c r="V157" s="16"/>
      <c r="W157" s="16"/>
      <c r="X157" s="16"/>
      <c r="Y157" s="16"/>
      <c r="Z157" s="16"/>
      <c r="AA157" s="18"/>
      <c r="AB157" s="18"/>
      <c r="AC157" s="18"/>
      <c r="AD157" s="18"/>
      <c r="AE157" s="18"/>
      <c r="AF157" s="19" t="n">
        <f aca="false">IF($B157="","",IF(AND(Consulta!$B$11="Sim",$L157&lt;&gt;"Sim"),-9999,IF($H157=Consulta!$B$5,-9999,IF(AND(Consulta!$B$3&lt;&gt;"Qualquer",ISNUMBER(SEARCH(Consulta!$B$3,$AA157))),-9999,IF(AND(Consulta!$B$10="Sim",$V157&lt;&gt;"Sim"),-9999,IF(OR(Consulta!$B$3="Qualquer",ISNUMBER(SEARCH(Consulta!$B$3,$P157))),3,0)+IF(OR(Consulta!$B$12="Qualquer",ISNUMBER(SEARCH(Consulta!$B$12,$Q157))),2,0)+IF(OR(Consulta!$B$4="Qualquer",ISNUMBER(SEARCH(Consulta!$B$4,$R157))),3,0)+IF(Consulta!$B$6="Qualquer",0,IF($O157=Consulta!$B$6,2,-1))+IF(Consulta!$B$7="Não",0,IF($U157="Sim",3,IF($U157="Não",-6,0)))+IF(Consulta!$B$8="Qualquer",0,IF($C157=Consulta!$B$8,2,-3))+IF(Consulta!$B$9="Qualquer",0,IF($D157=Consulta!$B$9,2,-1))+IF($N157="",0,$N157)-ROW()/100000)))))</f>
        <v>7.99843</v>
      </c>
    </row>
    <row r="158" customFormat="false" ht="23.85" hidden="false" customHeight="false" outlineLevel="0" collapsed="false">
      <c r="A158" s="14" t="n">
        <v>15</v>
      </c>
      <c r="B158" s="15" t="s">
        <v>686</v>
      </c>
      <c r="C158" s="14" t="s">
        <v>169</v>
      </c>
      <c r="D158" s="14" t="s">
        <v>177</v>
      </c>
      <c r="E158" s="15" t="s">
        <v>687</v>
      </c>
      <c r="F158" s="14"/>
      <c r="G158" s="14" t="s">
        <v>688</v>
      </c>
      <c r="H158" s="14"/>
      <c r="I158" s="15" t="s">
        <v>689</v>
      </c>
      <c r="J158" s="14" t="s">
        <v>114</v>
      </c>
      <c r="K158" s="15" t="s">
        <v>177</v>
      </c>
      <c r="L158" s="16" t="s">
        <v>52</v>
      </c>
      <c r="M158" s="17"/>
      <c r="N158" s="16"/>
      <c r="O158" s="16"/>
      <c r="P158" s="18"/>
      <c r="Q158" s="16"/>
      <c r="R158" s="18"/>
      <c r="S158" s="16"/>
      <c r="T158" s="16"/>
      <c r="U158" s="16"/>
      <c r="V158" s="16"/>
      <c r="W158" s="16"/>
      <c r="X158" s="16"/>
      <c r="Y158" s="16"/>
      <c r="Z158" s="16"/>
      <c r="AA158" s="18"/>
      <c r="AB158" s="18"/>
      <c r="AC158" s="18"/>
      <c r="AD158" s="18"/>
      <c r="AE158" s="18"/>
      <c r="AF158" s="19" t="n">
        <f aca="false">IF($B158="","",IF(AND(Consulta!$B$11="Sim",$L158&lt;&gt;"Sim"),-9999,IF($H158=Consulta!$B$5,-9999,IF(AND(Consulta!$B$3&lt;&gt;"Qualquer",ISNUMBER(SEARCH(Consulta!$B$3,$AA158))),-9999,IF(AND(Consulta!$B$10="Sim",$V158&lt;&gt;"Sim"),-9999,IF(OR(Consulta!$B$3="Qualquer",ISNUMBER(SEARCH(Consulta!$B$3,$P158))),3,0)+IF(OR(Consulta!$B$12="Qualquer",ISNUMBER(SEARCH(Consulta!$B$12,$Q158))),2,0)+IF(OR(Consulta!$B$4="Qualquer",ISNUMBER(SEARCH(Consulta!$B$4,$R158))),3,0)+IF(Consulta!$B$6="Qualquer",0,IF($O158=Consulta!$B$6,2,-1))+IF(Consulta!$B$7="Não",0,IF($U158="Sim",3,IF($U158="Não",-6,0)))+IF(Consulta!$B$8="Qualquer",0,IF($C158=Consulta!$B$8,2,-3))+IF(Consulta!$B$9="Qualquer",0,IF($D158=Consulta!$B$9,2,-1))+IF($N158="",0,$N158)-ROW()/100000)))))</f>
        <v>7.99842</v>
      </c>
    </row>
    <row r="159" customFormat="false" ht="23.85" hidden="false" customHeight="false" outlineLevel="0" collapsed="false">
      <c r="A159" s="14" t="n">
        <v>15</v>
      </c>
      <c r="B159" s="15" t="s">
        <v>690</v>
      </c>
      <c r="C159" s="14" t="s">
        <v>169</v>
      </c>
      <c r="D159" s="14" t="s">
        <v>177</v>
      </c>
      <c r="E159" s="15" t="s">
        <v>687</v>
      </c>
      <c r="F159" s="14"/>
      <c r="G159" s="14" t="s">
        <v>691</v>
      </c>
      <c r="H159" s="14"/>
      <c r="I159" s="15" t="s">
        <v>692</v>
      </c>
      <c r="J159" s="14" t="s">
        <v>114</v>
      </c>
      <c r="K159" s="15" t="s">
        <v>177</v>
      </c>
      <c r="L159" s="16" t="s">
        <v>52</v>
      </c>
      <c r="M159" s="17"/>
      <c r="N159" s="16"/>
      <c r="O159" s="16"/>
      <c r="P159" s="18"/>
      <c r="Q159" s="16"/>
      <c r="R159" s="18"/>
      <c r="S159" s="16"/>
      <c r="T159" s="16"/>
      <c r="U159" s="16"/>
      <c r="V159" s="16"/>
      <c r="W159" s="16"/>
      <c r="X159" s="16"/>
      <c r="Y159" s="16"/>
      <c r="Z159" s="16"/>
      <c r="AA159" s="18"/>
      <c r="AB159" s="18"/>
      <c r="AC159" s="18"/>
      <c r="AD159" s="18"/>
      <c r="AE159" s="18"/>
      <c r="AF159" s="19" t="n">
        <f aca="false">IF($B159="","",IF(AND(Consulta!$B$11="Sim",$L159&lt;&gt;"Sim"),-9999,IF($H159=Consulta!$B$5,-9999,IF(AND(Consulta!$B$3&lt;&gt;"Qualquer",ISNUMBER(SEARCH(Consulta!$B$3,$AA159))),-9999,IF(AND(Consulta!$B$10="Sim",$V159&lt;&gt;"Sim"),-9999,IF(OR(Consulta!$B$3="Qualquer",ISNUMBER(SEARCH(Consulta!$B$3,$P159))),3,0)+IF(OR(Consulta!$B$12="Qualquer",ISNUMBER(SEARCH(Consulta!$B$12,$Q159))),2,0)+IF(OR(Consulta!$B$4="Qualquer",ISNUMBER(SEARCH(Consulta!$B$4,$R159))),3,0)+IF(Consulta!$B$6="Qualquer",0,IF($O159=Consulta!$B$6,2,-1))+IF(Consulta!$B$7="Não",0,IF($U159="Sim",3,IF($U159="Não",-6,0)))+IF(Consulta!$B$8="Qualquer",0,IF($C159=Consulta!$B$8,2,-3))+IF(Consulta!$B$9="Qualquer",0,IF($D159=Consulta!$B$9,2,-1))+IF($N159="",0,$N159)-ROW()/100000)))))</f>
        <v>7.99841</v>
      </c>
    </row>
    <row r="160" customFormat="false" ht="23.85" hidden="false" customHeight="false" outlineLevel="0" collapsed="false">
      <c r="A160" s="14" t="n">
        <v>15</v>
      </c>
      <c r="B160" s="15" t="s">
        <v>693</v>
      </c>
      <c r="C160" s="14" t="s">
        <v>169</v>
      </c>
      <c r="D160" s="14" t="s">
        <v>144</v>
      </c>
      <c r="E160" s="15" t="s">
        <v>687</v>
      </c>
      <c r="F160" s="14"/>
      <c r="G160" s="14" t="s">
        <v>694</v>
      </c>
      <c r="H160" s="14"/>
      <c r="I160" s="15" t="s">
        <v>695</v>
      </c>
      <c r="J160" s="14" t="s">
        <v>114</v>
      </c>
      <c r="K160" s="15" t="s">
        <v>696</v>
      </c>
      <c r="L160" s="16" t="s">
        <v>52</v>
      </c>
      <c r="M160" s="17"/>
      <c r="N160" s="16"/>
      <c r="O160" s="16"/>
      <c r="P160" s="18"/>
      <c r="Q160" s="16"/>
      <c r="R160" s="18"/>
      <c r="S160" s="16"/>
      <c r="T160" s="16"/>
      <c r="U160" s="16"/>
      <c r="V160" s="16"/>
      <c r="W160" s="16"/>
      <c r="X160" s="16"/>
      <c r="Y160" s="16"/>
      <c r="Z160" s="16"/>
      <c r="AA160" s="18"/>
      <c r="AB160" s="18"/>
      <c r="AC160" s="18"/>
      <c r="AD160" s="18"/>
      <c r="AE160" s="18"/>
      <c r="AF160" s="19" t="n">
        <f aca="false">IF($B160="","",IF(AND(Consulta!$B$11="Sim",$L160&lt;&gt;"Sim"),-9999,IF($H160=Consulta!$B$5,-9999,IF(AND(Consulta!$B$3&lt;&gt;"Qualquer",ISNUMBER(SEARCH(Consulta!$B$3,$AA160))),-9999,IF(AND(Consulta!$B$10="Sim",$V160&lt;&gt;"Sim"),-9999,IF(OR(Consulta!$B$3="Qualquer",ISNUMBER(SEARCH(Consulta!$B$3,$P160))),3,0)+IF(OR(Consulta!$B$12="Qualquer",ISNUMBER(SEARCH(Consulta!$B$12,$Q160))),2,0)+IF(OR(Consulta!$B$4="Qualquer",ISNUMBER(SEARCH(Consulta!$B$4,$R160))),3,0)+IF(Consulta!$B$6="Qualquer",0,IF($O160=Consulta!$B$6,2,-1))+IF(Consulta!$B$7="Não",0,IF($U160="Sim",3,IF($U160="Não",-6,0)))+IF(Consulta!$B$8="Qualquer",0,IF($C160=Consulta!$B$8,2,-3))+IF(Consulta!$B$9="Qualquer",0,IF($D160=Consulta!$B$9,2,-1))+IF($N160="",0,$N160)-ROW()/100000)))))</f>
        <v>7.9984</v>
      </c>
    </row>
    <row r="161" customFormat="false" ht="23.85" hidden="false" customHeight="false" outlineLevel="0" collapsed="false">
      <c r="A161" s="14" t="n">
        <v>15</v>
      </c>
      <c r="B161" s="15" t="s">
        <v>697</v>
      </c>
      <c r="C161" s="14" t="s">
        <v>169</v>
      </c>
      <c r="D161" s="14" t="s">
        <v>177</v>
      </c>
      <c r="E161" s="15" t="s">
        <v>359</v>
      </c>
      <c r="F161" s="14" t="s">
        <v>360</v>
      </c>
      <c r="G161" s="14" t="s">
        <v>361</v>
      </c>
      <c r="H161" s="14"/>
      <c r="I161" s="15" t="s">
        <v>698</v>
      </c>
      <c r="J161" s="14" t="s">
        <v>114</v>
      </c>
      <c r="K161" s="15" t="s">
        <v>261</v>
      </c>
      <c r="L161" s="16" t="s">
        <v>52</v>
      </c>
      <c r="M161" s="17"/>
      <c r="N161" s="16"/>
      <c r="O161" s="16"/>
      <c r="P161" s="18"/>
      <c r="Q161" s="16"/>
      <c r="R161" s="18"/>
      <c r="S161" s="16"/>
      <c r="T161" s="16"/>
      <c r="U161" s="16"/>
      <c r="V161" s="16"/>
      <c r="W161" s="16"/>
      <c r="X161" s="16"/>
      <c r="Y161" s="16"/>
      <c r="Z161" s="16"/>
      <c r="AA161" s="18"/>
      <c r="AB161" s="18"/>
      <c r="AC161" s="18"/>
      <c r="AD161" s="18"/>
      <c r="AE161" s="18"/>
      <c r="AF161" s="19" t="n">
        <f aca="false">IF($B161="","",IF(AND(Consulta!$B$11="Sim",$L161&lt;&gt;"Sim"),-9999,IF($H161=Consulta!$B$5,-9999,IF(AND(Consulta!$B$3&lt;&gt;"Qualquer",ISNUMBER(SEARCH(Consulta!$B$3,$AA161))),-9999,IF(AND(Consulta!$B$10="Sim",$V161&lt;&gt;"Sim"),-9999,IF(OR(Consulta!$B$3="Qualquer",ISNUMBER(SEARCH(Consulta!$B$3,$P161))),3,0)+IF(OR(Consulta!$B$12="Qualquer",ISNUMBER(SEARCH(Consulta!$B$12,$Q161))),2,0)+IF(OR(Consulta!$B$4="Qualquer",ISNUMBER(SEARCH(Consulta!$B$4,$R161))),3,0)+IF(Consulta!$B$6="Qualquer",0,IF($O161=Consulta!$B$6,2,-1))+IF(Consulta!$B$7="Não",0,IF($U161="Sim",3,IF($U161="Não",-6,0)))+IF(Consulta!$B$8="Qualquer",0,IF($C161=Consulta!$B$8,2,-3))+IF(Consulta!$B$9="Qualquer",0,IF($D161=Consulta!$B$9,2,-1))+IF($N161="",0,$N161)-ROW()/100000)))))</f>
        <v>7.99839</v>
      </c>
    </row>
    <row r="162" customFormat="false" ht="15" hidden="false" customHeight="false" outlineLevel="0" collapsed="false">
      <c r="A162" s="14" t="n">
        <v>15</v>
      </c>
      <c r="B162" s="15" t="s">
        <v>699</v>
      </c>
      <c r="C162" s="14" t="s">
        <v>169</v>
      </c>
      <c r="D162" s="14" t="s">
        <v>144</v>
      </c>
      <c r="E162" s="15" t="s">
        <v>687</v>
      </c>
      <c r="F162" s="14"/>
      <c r="G162" s="14" t="s">
        <v>700</v>
      </c>
      <c r="H162" s="14"/>
      <c r="I162" s="15" t="s">
        <v>701</v>
      </c>
      <c r="J162" s="14" t="s">
        <v>114</v>
      </c>
      <c r="K162" s="15" t="s">
        <v>702</v>
      </c>
      <c r="L162" s="16" t="s">
        <v>52</v>
      </c>
      <c r="M162" s="17"/>
      <c r="N162" s="16"/>
      <c r="O162" s="16"/>
      <c r="P162" s="18"/>
      <c r="Q162" s="16"/>
      <c r="R162" s="18"/>
      <c r="S162" s="16"/>
      <c r="T162" s="16"/>
      <c r="U162" s="16"/>
      <c r="V162" s="16"/>
      <c r="W162" s="16"/>
      <c r="X162" s="16"/>
      <c r="Y162" s="16"/>
      <c r="Z162" s="16"/>
      <c r="AA162" s="18"/>
      <c r="AB162" s="18"/>
      <c r="AC162" s="18"/>
      <c r="AD162" s="18"/>
      <c r="AE162" s="18"/>
      <c r="AF162" s="19" t="n">
        <f aca="false">IF($B162="","",IF(AND(Consulta!$B$11="Sim",$L162&lt;&gt;"Sim"),-9999,IF($H162=Consulta!$B$5,-9999,IF(AND(Consulta!$B$3&lt;&gt;"Qualquer",ISNUMBER(SEARCH(Consulta!$B$3,$AA162))),-9999,IF(AND(Consulta!$B$10="Sim",$V162&lt;&gt;"Sim"),-9999,IF(OR(Consulta!$B$3="Qualquer",ISNUMBER(SEARCH(Consulta!$B$3,$P162))),3,0)+IF(OR(Consulta!$B$12="Qualquer",ISNUMBER(SEARCH(Consulta!$B$12,$Q162))),2,0)+IF(OR(Consulta!$B$4="Qualquer",ISNUMBER(SEARCH(Consulta!$B$4,$R162))),3,0)+IF(Consulta!$B$6="Qualquer",0,IF($O162=Consulta!$B$6,2,-1))+IF(Consulta!$B$7="Não",0,IF($U162="Sim",3,IF($U162="Não",-6,0)))+IF(Consulta!$B$8="Qualquer",0,IF($C162=Consulta!$B$8,2,-3))+IF(Consulta!$B$9="Qualquer",0,IF($D162=Consulta!$B$9,2,-1))+IF($N162="",0,$N162)-ROW()/100000)))))</f>
        <v>7.99838</v>
      </c>
    </row>
    <row r="163" customFormat="false" ht="15" hidden="false" customHeight="false" outlineLevel="0" collapsed="false">
      <c r="A163" s="14" t="n">
        <v>15</v>
      </c>
      <c r="B163" s="15" t="s">
        <v>703</v>
      </c>
      <c r="C163" s="14" t="s">
        <v>163</v>
      </c>
      <c r="D163" s="14" t="s">
        <v>162</v>
      </c>
      <c r="E163" s="15" t="s">
        <v>704</v>
      </c>
      <c r="F163" s="14"/>
      <c r="G163" s="14" t="s">
        <v>705</v>
      </c>
      <c r="H163" s="14" t="s">
        <v>157</v>
      </c>
      <c r="I163" s="15" t="s">
        <v>706</v>
      </c>
      <c r="J163" s="14" t="s">
        <v>91</v>
      </c>
      <c r="K163" s="15" t="s">
        <v>707</v>
      </c>
      <c r="L163" s="16" t="s">
        <v>52</v>
      </c>
      <c r="M163" s="17"/>
      <c r="N163" s="16"/>
      <c r="O163" s="16"/>
      <c r="P163" s="18"/>
      <c r="Q163" s="16"/>
      <c r="R163" s="18"/>
      <c r="S163" s="16"/>
      <c r="T163" s="16"/>
      <c r="U163" s="16"/>
      <c r="V163" s="16"/>
      <c r="W163" s="16"/>
      <c r="X163" s="16"/>
      <c r="Y163" s="16"/>
      <c r="Z163" s="16"/>
      <c r="AA163" s="18"/>
      <c r="AB163" s="18"/>
      <c r="AC163" s="18"/>
      <c r="AD163" s="18"/>
      <c r="AE163" s="18"/>
      <c r="AF163" s="19" t="n">
        <f aca="false">IF($B163="","",IF(AND(Consulta!$B$11="Sim",$L163&lt;&gt;"Sim"),-9999,IF($H163=Consulta!$B$5,-9999,IF(AND(Consulta!$B$3&lt;&gt;"Qualquer",ISNUMBER(SEARCH(Consulta!$B$3,$AA163))),-9999,IF(AND(Consulta!$B$10="Sim",$V163&lt;&gt;"Sim"),-9999,IF(OR(Consulta!$B$3="Qualquer",ISNUMBER(SEARCH(Consulta!$B$3,$P163))),3,0)+IF(OR(Consulta!$B$12="Qualquer",ISNUMBER(SEARCH(Consulta!$B$12,$Q163))),2,0)+IF(OR(Consulta!$B$4="Qualquer",ISNUMBER(SEARCH(Consulta!$B$4,$R163))),3,0)+IF(Consulta!$B$6="Qualquer",0,IF($O163=Consulta!$B$6,2,-1))+IF(Consulta!$B$7="Não",0,IF($U163="Sim",3,IF($U163="Não",-6,0)))+IF(Consulta!$B$8="Qualquer",0,IF($C163=Consulta!$B$8,2,-3))+IF(Consulta!$B$9="Qualquer",0,IF($D163=Consulta!$B$9,2,-1))+IF($N163="",0,$N163)-ROW()/100000)))))</f>
        <v>7.99837</v>
      </c>
    </row>
    <row r="164" customFormat="false" ht="15" hidden="false" customHeight="false" outlineLevel="0" collapsed="false">
      <c r="A164" s="14" t="n">
        <v>15</v>
      </c>
      <c r="B164" s="15" t="s">
        <v>708</v>
      </c>
      <c r="C164" s="14" t="s">
        <v>163</v>
      </c>
      <c r="D164" s="14" t="s">
        <v>162</v>
      </c>
      <c r="E164" s="15" t="s">
        <v>709</v>
      </c>
      <c r="F164" s="14"/>
      <c r="G164" s="14" t="s">
        <v>710</v>
      </c>
      <c r="H164" s="14" t="s">
        <v>157</v>
      </c>
      <c r="I164" s="15" t="s">
        <v>711</v>
      </c>
      <c r="J164" s="14" t="s">
        <v>91</v>
      </c>
      <c r="K164" s="15" t="s">
        <v>712</v>
      </c>
      <c r="L164" s="16" t="s">
        <v>52</v>
      </c>
      <c r="M164" s="17"/>
      <c r="N164" s="16"/>
      <c r="O164" s="16"/>
      <c r="P164" s="18"/>
      <c r="Q164" s="16"/>
      <c r="R164" s="18"/>
      <c r="S164" s="16"/>
      <c r="T164" s="16"/>
      <c r="U164" s="16"/>
      <c r="V164" s="16"/>
      <c r="W164" s="16"/>
      <c r="X164" s="16"/>
      <c r="Y164" s="16"/>
      <c r="Z164" s="16"/>
      <c r="AA164" s="18"/>
      <c r="AB164" s="18"/>
      <c r="AC164" s="18"/>
      <c r="AD164" s="18"/>
      <c r="AE164" s="18"/>
      <c r="AF164" s="19" t="n">
        <f aca="false">IF($B164="","",IF(AND(Consulta!$B$11="Sim",$L164&lt;&gt;"Sim"),-9999,IF($H164=Consulta!$B$5,-9999,IF(AND(Consulta!$B$3&lt;&gt;"Qualquer",ISNUMBER(SEARCH(Consulta!$B$3,$AA164))),-9999,IF(AND(Consulta!$B$10="Sim",$V164&lt;&gt;"Sim"),-9999,IF(OR(Consulta!$B$3="Qualquer",ISNUMBER(SEARCH(Consulta!$B$3,$P164))),3,0)+IF(OR(Consulta!$B$12="Qualquer",ISNUMBER(SEARCH(Consulta!$B$12,$Q164))),2,0)+IF(OR(Consulta!$B$4="Qualquer",ISNUMBER(SEARCH(Consulta!$B$4,$R164))),3,0)+IF(Consulta!$B$6="Qualquer",0,IF($O164=Consulta!$B$6,2,-1))+IF(Consulta!$B$7="Não",0,IF($U164="Sim",3,IF($U164="Não",-6,0)))+IF(Consulta!$B$8="Qualquer",0,IF($C164=Consulta!$B$8,2,-3))+IF(Consulta!$B$9="Qualquer",0,IF($D164=Consulta!$B$9,2,-1))+IF($N164="",0,$N164)-ROW()/100000)))))</f>
        <v>7.99836</v>
      </c>
    </row>
    <row r="165" customFormat="false" ht="15" hidden="false" customHeight="false" outlineLevel="0" collapsed="false">
      <c r="A165" s="14"/>
      <c r="B165" s="15"/>
      <c r="C165" s="14"/>
      <c r="D165" s="14"/>
      <c r="E165" s="15"/>
      <c r="F165" s="14"/>
      <c r="G165" s="14"/>
      <c r="H165" s="14"/>
      <c r="I165" s="15"/>
      <c r="J165" s="14"/>
      <c r="K165" s="15"/>
      <c r="L165" s="16"/>
      <c r="M165" s="17"/>
      <c r="N165" s="16"/>
      <c r="O165" s="16"/>
      <c r="P165" s="18"/>
      <c r="Q165" s="16"/>
      <c r="R165" s="18"/>
      <c r="S165" s="16"/>
      <c r="T165" s="16"/>
      <c r="U165" s="16"/>
      <c r="V165" s="16"/>
      <c r="W165" s="16"/>
      <c r="X165" s="16"/>
      <c r="Y165" s="16"/>
      <c r="Z165" s="16"/>
      <c r="AA165" s="18"/>
      <c r="AB165" s="18"/>
      <c r="AC165" s="18"/>
      <c r="AD165" s="18"/>
      <c r="AE165" s="18"/>
      <c r="AF165" s="19" t="str">
        <f aca="false">IF($B165="","",IF(AND(Consulta!$B$11="Sim",$L165&lt;&gt;"Sim"),-9999,IF($H165=Consulta!$B$5,-9999,IF(AND(Consulta!$B$3&lt;&gt;"Qualquer",ISNUMBER(SEARCH(Consulta!$B$3,$AA165))),-9999,IF(AND(Consulta!$B$10="Sim",$V165&lt;&gt;"Sim"),-9999,IF(OR(Consulta!$B$3="Qualquer",ISNUMBER(SEARCH(Consulta!$B$3,$P165))),3,0)+IF(OR(Consulta!$B$12="Qualquer",ISNUMBER(SEARCH(Consulta!$B$12,$Q165))),2,0)+IF(OR(Consulta!$B$4="Qualquer",ISNUMBER(SEARCH(Consulta!$B$4,$R165))),3,0)+IF(Consulta!$B$6="Qualquer",0,IF($O165=Consulta!$B$6,2,-1))+IF(Consulta!$B$7="Não",0,IF($U165="Sim",3,IF($U165="Não",-6,0)))+IF(Consulta!$B$8="Qualquer",0,IF($C165=Consulta!$B$8,2,-3))+IF(Consulta!$B$9="Qualquer",0,IF($D165=Consulta!$B$9,2,-1))+IF($N165="",0,$N165)-ROW()/100000)))))</f>
        <v/>
      </c>
    </row>
    <row r="166" customFormat="false" ht="15" hidden="false" customHeight="false" outlineLevel="0" collapsed="false">
      <c r="A166" s="14"/>
      <c r="B166" s="15"/>
      <c r="C166" s="14"/>
      <c r="D166" s="14"/>
      <c r="E166" s="15"/>
      <c r="F166" s="14"/>
      <c r="G166" s="14"/>
      <c r="H166" s="14"/>
      <c r="I166" s="15"/>
      <c r="J166" s="14"/>
      <c r="K166" s="15"/>
      <c r="L166" s="16"/>
      <c r="M166" s="17"/>
      <c r="N166" s="16"/>
      <c r="O166" s="16"/>
      <c r="P166" s="18"/>
      <c r="Q166" s="16"/>
      <c r="R166" s="18"/>
      <c r="S166" s="16"/>
      <c r="T166" s="16"/>
      <c r="U166" s="16"/>
      <c r="V166" s="16"/>
      <c r="W166" s="16"/>
      <c r="X166" s="16"/>
      <c r="Y166" s="16"/>
      <c r="Z166" s="16"/>
      <c r="AA166" s="18"/>
      <c r="AB166" s="18"/>
      <c r="AC166" s="18"/>
      <c r="AD166" s="18"/>
      <c r="AE166" s="18"/>
      <c r="AF166" s="19" t="str">
        <f aca="false">IF($B166="","",IF(AND(Consulta!$B$11="Sim",$L166&lt;&gt;"Sim"),-9999,IF($H166=Consulta!$B$5,-9999,IF(AND(Consulta!$B$3&lt;&gt;"Qualquer",ISNUMBER(SEARCH(Consulta!$B$3,$AA166))),-9999,IF(AND(Consulta!$B$10="Sim",$V166&lt;&gt;"Sim"),-9999,IF(OR(Consulta!$B$3="Qualquer",ISNUMBER(SEARCH(Consulta!$B$3,$P166))),3,0)+IF(OR(Consulta!$B$12="Qualquer",ISNUMBER(SEARCH(Consulta!$B$12,$Q166))),2,0)+IF(OR(Consulta!$B$4="Qualquer",ISNUMBER(SEARCH(Consulta!$B$4,$R166))),3,0)+IF(Consulta!$B$6="Qualquer",0,IF($O166=Consulta!$B$6,2,-1))+IF(Consulta!$B$7="Não",0,IF($U166="Sim",3,IF($U166="Não",-6,0)))+IF(Consulta!$B$8="Qualquer",0,IF($C166=Consulta!$B$8,2,-3))+IF(Consulta!$B$9="Qualquer",0,IF($D166=Consulta!$B$9,2,-1))+IF($N166="",0,$N166)-ROW()/100000)))))</f>
        <v/>
      </c>
    </row>
    <row r="167" customFormat="false" ht="15" hidden="false" customHeight="false" outlineLevel="0" collapsed="false">
      <c r="A167" s="14"/>
      <c r="B167" s="15"/>
      <c r="C167" s="14"/>
      <c r="D167" s="14"/>
      <c r="E167" s="15"/>
      <c r="F167" s="14"/>
      <c r="G167" s="14"/>
      <c r="H167" s="14"/>
      <c r="I167" s="15"/>
      <c r="J167" s="14"/>
      <c r="K167" s="15"/>
      <c r="L167" s="16"/>
      <c r="M167" s="17"/>
      <c r="N167" s="16"/>
      <c r="O167" s="16"/>
      <c r="P167" s="18"/>
      <c r="Q167" s="16"/>
      <c r="R167" s="18"/>
      <c r="S167" s="16"/>
      <c r="T167" s="16"/>
      <c r="U167" s="16"/>
      <c r="V167" s="16"/>
      <c r="W167" s="16"/>
      <c r="X167" s="16"/>
      <c r="Y167" s="16"/>
      <c r="Z167" s="16"/>
      <c r="AA167" s="18"/>
      <c r="AB167" s="18"/>
      <c r="AC167" s="18"/>
      <c r="AD167" s="18"/>
      <c r="AE167" s="18"/>
      <c r="AF167" s="19" t="str">
        <f aca="false">IF($B167="","",IF(AND(Consulta!$B$11="Sim",$L167&lt;&gt;"Sim"),-9999,IF($H167=Consulta!$B$5,-9999,IF(AND(Consulta!$B$3&lt;&gt;"Qualquer",ISNUMBER(SEARCH(Consulta!$B$3,$AA167))),-9999,IF(AND(Consulta!$B$10="Sim",$V167&lt;&gt;"Sim"),-9999,IF(OR(Consulta!$B$3="Qualquer",ISNUMBER(SEARCH(Consulta!$B$3,$P167))),3,0)+IF(OR(Consulta!$B$12="Qualquer",ISNUMBER(SEARCH(Consulta!$B$12,$Q167))),2,0)+IF(OR(Consulta!$B$4="Qualquer",ISNUMBER(SEARCH(Consulta!$B$4,$R167))),3,0)+IF(Consulta!$B$6="Qualquer",0,IF($O167=Consulta!$B$6,2,-1))+IF(Consulta!$B$7="Não",0,IF($U167="Sim",3,IF($U167="Não",-6,0)))+IF(Consulta!$B$8="Qualquer",0,IF($C167=Consulta!$B$8,2,-3))+IF(Consulta!$B$9="Qualquer",0,IF($D167=Consulta!$B$9,2,-1))+IF($N167="",0,$N167)-ROW()/100000)))))</f>
        <v/>
      </c>
    </row>
    <row r="168" customFormat="false" ht="15" hidden="false" customHeight="false" outlineLevel="0" collapsed="false">
      <c r="A168" s="14"/>
      <c r="B168" s="15"/>
      <c r="C168" s="14"/>
      <c r="D168" s="14"/>
      <c r="E168" s="15"/>
      <c r="F168" s="14"/>
      <c r="G168" s="14"/>
      <c r="H168" s="14"/>
      <c r="I168" s="15"/>
      <c r="J168" s="14"/>
      <c r="K168" s="15"/>
      <c r="L168" s="16"/>
      <c r="M168" s="17"/>
      <c r="N168" s="16"/>
      <c r="O168" s="16"/>
      <c r="P168" s="18"/>
      <c r="Q168" s="16"/>
      <c r="R168" s="18"/>
      <c r="S168" s="16"/>
      <c r="T168" s="16"/>
      <c r="U168" s="16"/>
      <c r="V168" s="16"/>
      <c r="W168" s="16"/>
      <c r="X168" s="16"/>
      <c r="Y168" s="16"/>
      <c r="Z168" s="16"/>
      <c r="AA168" s="18"/>
      <c r="AB168" s="18"/>
      <c r="AC168" s="18"/>
      <c r="AD168" s="18"/>
      <c r="AE168" s="18"/>
      <c r="AF168" s="19" t="str">
        <f aca="false">IF($B168="","",IF(AND(Consulta!$B$11="Sim",$L168&lt;&gt;"Sim"),-9999,IF($H168=Consulta!$B$5,-9999,IF(AND(Consulta!$B$3&lt;&gt;"Qualquer",ISNUMBER(SEARCH(Consulta!$B$3,$AA168))),-9999,IF(AND(Consulta!$B$10="Sim",$V168&lt;&gt;"Sim"),-9999,IF(OR(Consulta!$B$3="Qualquer",ISNUMBER(SEARCH(Consulta!$B$3,$P168))),3,0)+IF(OR(Consulta!$B$12="Qualquer",ISNUMBER(SEARCH(Consulta!$B$12,$Q168))),2,0)+IF(OR(Consulta!$B$4="Qualquer",ISNUMBER(SEARCH(Consulta!$B$4,$R168))),3,0)+IF(Consulta!$B$6="Qualquer",0,IF($O168=Consulta!$B$6,2,-1))+IF(Consulta!$B$7="Não",0,IF($U168="Sim",3,IF($U168="Não",-6,0)))+IF(Consulta!$B$8="Qualquer",0,IF($C168=Consulta!$B$8,2,-3))+IF(Consulta!$B$9="Qualquer",0,IF($D168=Consulta!$B$9,2,-1))+IF($N168="",0,$N168)-ROW()/100000)))))</f>
        <v/>
      </c>
    </row>
    <row r="169" customFormat="false" ht="15" hidden="false" customHeight="false" outlineLevel="0" collapsed="false">
      <c r="A169" s="14"/>
      <c r="B169" s="15"/>
      <c r="C169" s="14"/>
      <c r="D169" s="14"/>
      <c r="E169" s="15"/>
      <c r="F169" s="14"/>
      <c r="G169" s="14"/>
      <c r="H169" s="14"/>
      <c r="I169" s="15"/>
      <c r="J169" s="14"/>
      <c r="K169" s="15"/>
      <c r="L169" s="16"/>
      <c r="M169" s="17"/>
      <c r="N169" s="16"/>
      <c r="O169" s="16"/>
      <c r="P169" s="18"/>
      <c r="Q169" s="16"/>
      <c r="R169" s="18"/>
      <c r="S169" s="16"/>
      <c r="T169" s="16"/>
      <c r="U169" s="16"/>
      <c r="V169" s="16"/>
      <c r="W169" s="16"/>
      <c r="X169" s="16"/>
      <c r="Y169" s="16"/>
      <c r="Z169" s="16"/>
      <c r="AA169" s="18"/>
      <c r="AB169" s="18"/>
      <c r="AC169" s="18"/>
      <c r="AD169" s="18"/>
      <c r="AE169" s="18"/>
      <c r="AF169" s="19" t="str">
        <f aca="false">IF($B169="","",IF(AND(Consulta!$B$11="Sim",$L169&lt;&gt;"Sim"),-9999,IF($H169=Consulta!$B$5,-9999,IF(AND(Consulta!$B$3&lt;&gt;"Qualquer",ISNUMBER(SEARCH(Consulta!$B$3,$AA169))),-9999,IF(AND(Consulta!$B$10="Sim",$V169&lt;&gt;"Sim"),-9999,IF(OR(Consulta!$B$3="Qualquer",ISNUMBER(SEARCH(Consulta!$B$3,$P169))),3,0)+IF(OR(Consulta!$B$12="Qualquer",ISNUMBER(SEARCH(Consulta!$B$12,$Q169))),2,0)+IF(OR(Consulta!$B$4="Qualquer",ISNUMBER(SEARCH(Consulta!$B$4,$R169))),3,0)+IF(Consulta!$B$6="Qualquer",0,IF($O169=Consulta!$B$6,2,-1))+IF(Consulta!$B$7="Não",0,IF($U169="Sim",3,IF($U169="Não",-6,0)))+IF(Consulta!$B$8="Qualquer",0,IF($C169=Consulta!$B$8,2,-3))+IF(Consulta!$B$9="Qualquer",0,IF($D169=Consulta!$B$9,2,-1))+IF($N169="",0,$N169)-ROW()/100000)))))</f>
        <v/>
      </c>
    </row>
    <row r="170" customFormat="false" ht="15" hidden="false" customHeight="false" outlineLevel="0" collapsed="false">
      <c r="A170" s="14"/>
      <c r="B170" s="15"/>
      <c r="C170" s="14"/>
      <c r="D170" s="14"/>
      <c r="E170" s="15"/>
      <c r="F170" s="14"/>
      <c r="G170" s="14"/>
      <c r="H170" s="14"/>
      <c r="I170" s="15"/>
      <c r="J170" s="14"/>
      <c r="K170" s="15"/>
      <c r="L170" s="16"/>
      <c r="M170" s="17"/>
      <c r="N170" s="16"/>
      <c r="O170" s="16"/>
      <c r="P170" s="18"/>
      <c r="Q170" s="16"/>
      <c r="R170" s="18"/>
      <c r="S170" s="16"/>
      <c r="T170" s="16"/>
      <c r="U170" s="16"/>
      <c r="V170" s="16"/>
      <c r="W170" s="16"/>
      <c r="X170" s="16"/>
      <c r="Y170" s="16"/>
      <c r="Z170" s="16"/>
      <c r="AA170" s="18"/>
      <c r="AB170" s="18"/>
      <c r="AC170" s="18"/>
      <c r="AD170" s="18"/>
      <c r="AE170" s="18"/>
      <c r="AF170" s="19" t="str">
        <f aca="false">IF($B170="","",IF(AND(Consulta!$B$11="Sim",$L170&lt;&gt;"Sim"),-9999,IF($H170=Consulta!$B$5,-9999,IF(AND(Consulta!$B$3&lt;&gt;"Qualquer",ISNUMBER(SEARCH(Consulta!$B$3,$AA170))),-9999,IF(AND(Consulta!$B$10="Sim",$V170&lt;&gt;"Sim"),-9999,IF(OR(Consulta!$B$3="Qualquer",ISNUMBER(SEARCH(Consulta!$B$3,$P170))),3,0)+IF(OR(Consulta!$B$12="Qualquer",ISNUMBER(SEARCH(Consulta!$B$12,$Q170))),2,0)+IF(OR(Consulta!$B$4="Qualquer",ISNUMBER(SEARCH(Consulta!$B$4,$R170))),3,0)+IF(Consulta!$B$6="Qualquer",0,IF($O170=Consulta!$B$6,2,-1))+IF(Consulta!$B$7="Não",0,IF($U170="Sim",3,IF($U170="Não",-6,0)))+IF(Consulta!$B$8="Qualquer",0,IF($C170=Consulta!$B$8,2,-3))+IF(Consulta!$B$9="Qualquer",0,IF($D170=Consulta!$B$9,2,-1))+IF($N170="",0,$N170)-ROW()/100000)))))</f>
        <v/>
      </c>
    </row>
    <row r="171" customFormat="false" ht="15" hidden="false" customHeight="false" outlineLevel="0" collapsed="false">
      <c r="A171" s="14"/>
      <c r="B171" s="15"/>
      <c r="C171" s="14"/>
      <c r="D171" s="14"/>
      <c r="E171" s="15"/>
      <c r="F171" s="14"/>
      <c r="G171" s="14"/>
      <c r="H171" s="14"/>
      <c r="I171" s="15"/>
      <c r="J171" s="14"/>
      <c r="K171" s="15"/>
      <c r="L171" s="16"/>
      <c r="M171" s="17"/>
      <c r="N171" s="16"/>
      <c r="O171" s="16"/>
      <c r="P171" s="18"/>
      <c r="Q171" s="16"/>
      <c r="R171" s="18"/>
      <c r="S171" s="16"/>
      <c r="T171" s="16"/>
      <c r="U171" s="16"/>
      <c r="V171" s="16"/>
      <c r="W171" s="16"/>
      <c r="X171" s="16"/>
      <c r="Y171" s="16"/>
      <c r="Z171" s="16"/>
      <c r="AA171" s="18"/>
      <c r="AB171" s="18"/>
      <c r="AC171" s="18"/>
      <c r="AD171" s="18"/>
      <c r="AE171" s="18"/>
      <c r="AF171" s="19" t="str">
        <f aca="false">IF($B171="","",IF(AND(Consulta!$B$11="Sim",$L171&lt;&gt;"Sim"),-9999,IF($H171=Consulta!$B$5,-9999,IF(AND(Consulta!$B$3&lt;&gt;"Qualquer",ISNUMBER(SEARCH(Consulta!$B$3,$AA171))),-9999,IF(AND(Consulta!$B$10="Sim",$V171&lt;&gt;"Sim"),-9999,IF(OR(Consulta!$B$3="Qualquer",ISNUMBER(SEARCH(Consulta!$B$3,$P171))),3,0)+IF(OR(Consulta!$B$12="Qualquer",ISNUMBER(SEARCH(Consulta!$B$12,$Q171))),2,0)+IF(OR(Consulta!$B$4="Qualquer",ISNUMBER(SEARCH(Consulta!$B$4,$R171))),3,0)+IF(Consulta!$B$6="Qualquer",0,IF($O171=Consulta!$B$6,2,-1))+IF(Consulta!$B$7="Não",0,IF($U171="Sim",3,IF($U171="Não",-6,0)))+IF(Consulta!$B$8="Qualquer",0,IF($C171=Consulta!$B$8,2,-3))+IF(Consulta!$B$9="Qualquer",0,IF($D171=Consulta!$B$9,2,-1))+IF($N171="",0,$N171)-ROW()/100000)))))</f>
        <v/>
      </c>
    </row>
    <row r="172" customFormat="false" ht="15" hidden="false" customHeight="false" outlineLevel="0" collapsed="false">
      <c r="A172" s="14"/>
      <c r="B172" s="15"/>
      <c r="C172" s="14"/>
      <c r="D172" s="14"/>
      <c r="E172" s="15"/>
      <c r="F172" s="14"/>
      <c r="G172" s="14"/>
      <c r="H172" s="14"/>
      <c r="I172" s="15"/>
      <c r="J172" s="14"/>
      <c r="K172" s="15"/>
      <c r="L172" s="16"/>
      <c r="M172" s="17"/>
      <c r="N172" s="16"/>
      <c r="O172" s="16"/>
      <c r="P172" s="18"/>
      <c r="Q172" s="16"/>
      <c r="R172" s="18"/>
      <c r="S172" s="16"/>
      <c r="T172" s="16"/>
      <c r="U172" s="16"/>
      <c r="V172" s="16"/>
      <c r="W172" s="16"/>
      <c r="X172" s="16"/>
      <c r="Y172" s="16"/>
      <c r="Z172" s="16"/>
      <c r="AA172" s="18"/>
      <c r="AB172" s="18"/>
      <c r="AC172" s="18"/>
      <c r="AD172" s="18"/>
      <c r="AE172" s="18"/>
      <c r="AF172" s="19" t="str">
        <f aca="false">IF($B172="","",IF(AND(Consulta!$B$11="Sim",$L172&lt;&gt;"Sim"),-9999,IF($H172=Consulta!$B$5,-9999,IF(AND(Consulta!$B$3&lt;&gt;"Qualquer",ISNUMBER(SEARCH(Consulta!$B$3,$AA172))),-9999,IF(AND(Consulta!$B$10="Sim",$V172&lt;&gt;"Sim"),-9999,IF(OR(Consulta!$B$3="Qualquer",ISNUMBER(SEARCH(Consulta!$B$3,$P172))),3,0)+IF(OR(Consulta!$B$12="Qualquer",ISNUMBER(SEARCH(Consulta!$B$12,$Q172))),2,0)+IF(OR(Consulta!$B$4="Qualquer",ISNUMBER(SEARCH(Consulta!$B$4,$R172))),3,0)+IF(Consulta!$B$6="Qualquer",0,IF($O172=Consulta!$B$6,2,-1))+IF(Consulta!$B$7="Não",0,IF($U172="Sim",3,IF($U172="Não",-6,0)))+IF(Consulta!$B$8="Qualquer",0,IF($C172=Consulta!$B$8,2,-3))+IF(Consulta!$B$9="Qualquer",0,IF($D172=Consulta!$B$9,2,-1))+IF($N172="",0,$N172)-ROW()/100000)))))</f>
        <v/>
      </c>
    </row>
    <row r="173" customFormat="false" ht="15" hidden="false" customHeight="false" outlineLevel="0" collapsed="false">
      <c r="A173" s="14"/>
      <c r="B173" s="15"/>
      <c r="C173" s="14"/>
      <c r="D173" s="14"/>
      <c r="E173" s="15"/>
      <c r="F173" s="14"/>
      <c r="G173" s="14"/>
      <c r="H173" s="14"/>
      <c r="I173" s="15"/>
      <c r="J173" s="14"/>
      <c r="K173" s="15"/>
      <c r="L173" s="16"/>
      <c r="M173" s="17"/>
      <c r="N173" s="16"/>
      <c r="O173" s="16"/>
      <c r="P173" s="18"/>
      <c r="Q173" s="16"/>
      <c r="R173" s="18"/>
      <c r="S173" s="16"/>
      <c r="T173" s="16"/>
      <c r="U173" s="16"/>
      <c r="V173" s="16"/>
      <c r="W173" s="16"/>
      <c r="X173" s="16"/>
      <c r="Y173" s="16"/>
      <c r="Z173" s="16"/>
      <c r="AA173" s="18"/>
      <c r="AB173" s="18"/>
      <c r="AC173" s="18"/>
      <c r="AD173" s="18"/>
      <c r="AE173" s="18"/>
      <c r="AF173" s="19" t="str">
        <f aca="false">IF($B173="","",IF(AND(Consulta!$B$11="Sim",$L173&lt;&gt;"Sim"),-9999,IF($H173=Consulta!$B$5,-9999,IF(AND(Consulta!$B$3&lt;&gt;"Qualquer",ISNUMBER(SEARCH(Consulta!$B$3,$AA173))),-9999,IF(AND(Consulta!$B$10="Sim",$V173&lt;&gt;"Sim"),-9999,IF(OR(Consulta!$B$3="Qualquer",ISNUMBER(SEARCH(Consulta!$B$3,$P173))),3,0)+IF(OR(Consulta!$B$12="Qualquer",ISNUMBER(SEARCH(Consulta!$B$12,$Q173))),2,0)+IF(OR(Consulta!$B$4="Qualquer",ISNUMBER(SEARCH(Consulta!$B$4,$R173))),3,0)+IF(Consulta!$B$6="Qualquer",0,IF($O173=Consulta!$B$6,2,-1))+IF(Consulta!$B$7="Não",0,IF($U173="Sim",3,IF($U173="Não",-6,0)))+IF(Consulta!$B$8="Qualquer",0,IF($C173=Consulta!$B$8,2,-3))+IF(Consulta!$B$9="Qualquer",0,IF($D173=Consulta!$B$9,2,-1))+IF($N173="",0,$N173)-ROW()/100000)))))</f>
        <v/>
      </c>
    </row>
    <row r="174" customFormat="false" ht="15" hidden="false" customHeight="false" outlineLevel="0" collapsed="false">
      <c r="A174" s="14"/>
      <c r="B174" s="15"/>
      <c r="C174" s="14"/>
      <c r="D174" s="14"/>
      <c r="E174" s="15"/>
      <c r="F174" s="14"/>
      <c r="G174" s="14"/>
      <c r="H174" s="14"/>
      <c r="I174" s="15"/>
      <c r="J174" s="14"/>
      <c r="K174" s="15"/>
      <c r="L174" s="16"/>
      <c r="M174" s="17"/>
      <c r="N174" s="16"/>
      <c r="O174" s="16"/>
      <c r="P174" s="18"/>
      <c r="Q174" s="16"/>
      <c r="R174" s="18"/>
      <c r="S174" s="16"/>
      <c r="T174" s="16"/>
      <c r="U174" s="16"/>
      <c r="V174" s="16"/>
      <c r="W174" s="16"/>
      <c r="X174" s="16"/>
      <c r="Y174" s="16"/>
      <c r="Z174" s="16"/>
      <c r="AA174" s="18"/>
      <c r="AB174" s="18"/>
      <c r="AC174" s="18"/>
      <c r="AD174" s="18"/>
      <c r="AE174" s="18"/>
      <c r="AF174" s="19" t="str">
        <f aca="false">IF($B174="","",IF(AND(Consulta!$B$11="Sim",$L174&lt;&gt;"Sim"),-9999,IF($H174=Consulta!$B$5,-9999,IF(AND(Consulta!$B$3&lt;&gt;"Qualquer",ISNUMBER(SEARCH(Consulta!$B$3,$AA174))),-9999,IF(AND(Consulta!$B$10="Sim",$V174&lt;&gt;"Sim"),-9999,IF(OR(Consulta!$B$3="Qualquer",ISNUMBER(SEARCH(Consulta!$B$3,$P174))),3,0)+IF(OR(Consulta!$B$12="Qualquer",ISNUMBER(SEARCH(Consulta!$B$12,$Q174))),2,0)+IF(OR(Consulta!$B$4="Qualquer",ISNUMBER(SEARCH(Consulta!$B$4,$R174))),3,0)+IF(Consulta!$B$6="Qualquer",0,IF($O174=Consulta!$B$6,2,-1))+IF(Consulta!$B$7="Não",0,IF($U174="Sim",3,IF($U174="Não",-6,0)))+IF(Consulta!$B$8="Qualquer",0,IF($C174=Consulta!$B$8,2,-3))+IF(Consulta!$B$9="Qualquer",0,IF($D174=Consulta!$B$9,2,-1))+IF($N174="",0,$N174)-ROW()/100000)))))</f>
        <v/>
      </c>
    </row>
    <row r="175" customFormat="false" ht="15" hidden="false" customHeight="false" outlineLevel="0" collapsed="false">
      <c r="A175" s="14"/>
      <c r="B175" s="15"/>
      <c r="C175" s="14"/>
      <c r="D175" s="14"/>
      <c r="E175" s="15"/>
      <c r="F175" s="14"/>
      <c r="G175" s="14"/>
      <c r="H175" s="14"/>
      <c r="I175" s="15"/>
      <c r="J175" s="14"/>
      <c r="K175" s="15"/>
      <c r="L175" s="16"/>
      <c r="M175" s="17"/>
      <c r="N175" s="16"/>
      <c r="O175" s="16"/>
      <c r="P175" s="18"/>
      <c r="Q175" s="16"/>
      <c r="R175" s="18"/>
      <c r="S175" s="16"/>
      <c r="T175" s="16"/>
      <c r="U175" s="16"/>
      <c r="V175" s="16"/>
      <c r="W175" s="16"/>
      <c r="X175" s="16"/>
      <c r="Y175" s="16"/>
      <c r="Z175" s="16"/>
      <c r="AA175" s="18"/>
      <c r="AB175" s="18"/>
      <c r="AC175" s="18"/>
      <c r="AD175" s="18"/>
      <c r="AE175" s="18"/>
      <c r="AF175" s="19" t="str">
        <f aca="false">IF($B175="","",IF(AND(Consulta!$B$11="Sim",$L175&lt;&gt;"Sim"),-9999,IF($H175=Consulta!$B$5,-9999,IF(AND(Consulta!$B$3&lt;&gt;"Qualquer",ISNUMBER(SEARCH(Consulta!$B$3,$AA175))),-9999,IF(AND(Consulta!$B$10="Sim",$V175&lt;&gt;"Sim"),-9999,IF(OR(Consulta!$B$3="Qualquer",ISNUMBER(SEARCH(Consulta!$B$3,$P175))),3,0)+IF(OR(Consulta!$B$12="Qualquer",ISNUMBER(SEARCH(Consulta!$B$12,$Q175))),2,0)+IF(OR(Consulta!$B$4="Qualquer",ISNUMBER(SEARCH(Consulta!$B$4,$R175))),3,0)+IF(Consulta!$B$6="Qualquer",0,IF($O175=Consulta!$B$6,2,-1))+IF(Consulta!$B$7="Não",0,IF($U175="Sim",3,IF($U175="Não",-6,0)))+IF(Consulta!$B$8="Qualquer",0,IF($C175=Consulta!$B$8,2,-3))+IF(Consulta!$B$9="Qualquer",0,IF($D175=Consulta!$B$9,2,-1))+IF($N175="",0,$N175)-ROW()/100000)))))</f>
        <v/>
      </c>
    </row>
    <row r="176" customFormat="false" ht="15" hidden="false" customHeight="false" outlineLevel="0" collapsed="false">
      <c r="A176" s="14"/>
      <c r="B176" s="15"/>
      <c r="C176" s="14"/>
      <c r="D176" s="14"/>
      <c r="E176" s="15"/>
      <c r="F176" s="14"/>
      <c r="G176" s="14"/>
      <c r="H176" s="14"/>
      <c r="I176" s="15"/>
      <c r="J176" s="14"/>
      <c r="K176" s="15"/>
      <c r="L176" s="16"/>
      <c r="M176" s="17"/>
      <c r="N176" s="16"/>
      <c r="O176" s="16"/>
      <c r="P176" s="18"/>
      <c r="Q176" s="16"/>
      <c r="R176" s="18"/>
      <c r="S176" s="16"/>
      <c r="T176" s="16"/>
      <c r="U176" s="16"/>
      <c r="V176" s="16"/>
      <c r="W176" s="16"/>
      <c r="X176" s="16"/>
      <c r="Y176" s="16"/>
      <c r="Z176" s="16"/>
      <c r="AA176" s="18"/>
      <c r="AB176" s="18"/>
      <c r="AC176" s="18"/>
      <c r="AD176" s="18"/>
      <c r="AE176" s="18"/>
      <c r="AF176" s="19" t="str">
        <f aca="false">IF($B176="","",IF(AND(Consulta!$B$11="Sim",$L176&lt;&gt;"Sim"),-9999,IF($H176=Consulta!$B$5,-9999,IF(AND(Consulta!$B$3&lt;&gt;"Qualquer",ISNUMBER(SEARCH(Consulta!$B$3,$AA176))),-9999,IF(AND(Consulta!$B$10="Sim",$V176&lt;&gt;"Sim"),-9999,IF(OR(Consulta!$B$3="Qualquer",ISNUMBER(SEARCH(Consulta!$B$3,$P176))),3,0)+IF(OR(Consulta!$B$12="Qualquer",ISNUMBER(SEARCH(Consulta!$B$12,$Q176))),2,0)+IF(OR(Consulta!$B$4="Qualquer",ISNUMBER(SEARCH(Consulta!$B$4,$R176))),3,0)+IF(Consulta!$B$6="Qualquer",0,IF($O176=Consulta!$B$6,2,-1))+IF(Consulta!$B$7="Não",0,IF($U176="Sim",3,IF($U176="Não",-6,0)))+IF(Consulta!$B$8="Qualquer",0,IF($C176=Consulta!$B$8,2,-3))+IF(Consulta!$B$9="Qualquer",0,IF($D176=Consulta!$B$9,2,-1))+IF($N176="",0,$N176)-ROW()/100000)))))</f>
        <v/>
      </c>
    </row>
    <row r="177" customFormat="false" ht="15" hidden="false" customHeight="false" outlineLevel="0" collapsed="false">
      <c r="A177" s="14"/>
      <c r="B177" s="15"/>
      <c r="C177" s="14"/>
      <c r="D177" s="14"/>
      <c r="E177" s="15"/>
      <c r="F177" s="14"/>
      <c r="G177" s="14"/>
      <c r="H177" s="14"/>
      <c r="I177" s="15"/>
      <c r="J177" s="14"/>
      <c r="K177" s="15"/>
      <c r="L177" s="16"/>
      <c r="M177" s="17"/>
      <c r="N177" s="16"/>
      <c r="O177" s="16"/>
      <c r="P177" s="18"/>
      <c r="Q177" s="16"/>
      <c r="R177" s="18"/>
      <c r="S177" s="16"/>
      <c r="T177" s="16"/>
      <c r="U177" s="16"/>
      <c r="V177" s="16"/>
      <c r="W177" s="16"/>
      <c r="X177" s="16"/>
      <c r="Y177" s="16"/>
      <c r="Z177" s="16"/>
      <c r="AA177" s="18"/>
      <c r="AB177" s="18"/>
      <c r="AC177" s="18"/>
      <c r="AD177" s="18"/>
      <c r="AE177" s="18"/>
      <c r="AF177" s="19" t="str">
        <f aca="false">IF($B177="","",IF(AND(Consulta!$B$11="Sim",$L177&lt;&gt;"Sim"),-9999,IF($H177=Consulta!$B$5,-9999,IF(AND(Consulta!$B$3&lt;&gt;"Qualquer",ISNUMBER(SEARCH(Consulta!$B$3,$AA177))),-9999,IF(AND(Consulta!$B$10="Sim",$V177&lt;&gt;"Sim"),-9999,IF(OR(Consulta!$B$3="Qualquer",ISNUMBER(SEARCH(Consulta!$B$3,$P177))),3,0)+IF(OR(Consulta!$B$12="Qualquer",ISNUMBER(SEARCH(Consulta!$B$12,$Q177))),2,0)+IF(OR(Consulta!$B$4="Qualquer",ISNUMBER(SEARCH(Consulta!$B$4,$R177))),3,0)+IF(Consulta!$B$6="Qualquer",0,IF($O177=Consulta!$B$6,2,-1))+IF(Consulta!$B$7="Não",0,IF($U177="Sim",3,IF($U177="Não",-6,0)))+IF(Consulta!$B$8="Qualquer",0,IF($C177=Consulta!$B$8,2,-3))+IF(Consulta!$B$9="Qualquer",0,IF($D177=Consulta!$B$9,2,-1))+IF($N177="",0,$N177)-ROW()/100000)))))</f>
        <v/>
      </c>
    </row>
    <row r="178" customFormat="false" ht="15" hidden="false" customHeight="false" outlineLevel="0" collapsed="false">
      <c r="A178" s="14"/>
      <c r="B178" s="15"/>
      <c r="C178" s="14"/>
      <c r="D178" s="14"/>
      <c r="E178" s="15"/>
      <c r="F178" s="14"/>
      <c r="G178" s="14"/>
      <c r="H178" s="14"/>
      <c r="I178" s="15"/>
      <c r="J178" s="14"/>
      <c r="K178" s="15"/>
      <c r="L178" s="16"/>
      <c r="M178" s="17"/>
      <c r="N178" s="16"/>
      <c r="O178" s="16"/>
      <c r="P178" s="18"/>
      <c r="Q178" s="16"/>
      <c r="R178" s="18"/>
      <c r="S178" s="16"/>
      <c r="T178" s="16"/>
      <c r="U178" s="16"/>
      <c r="V178" s="16"/>
      <c r="W178" s="16"/>
      <c r="X178" s="16"/>
      <c r="Y178" s="16"/>
      <c r="Z178" s="16"/>
      <c r="AA178" s="18"/>
      <c r="AB178" s="18"/>
      <c r="AC178" s="18"/>
      <c r="AD178" s="18"/>
      <c r="AE178" s="18"/>
      <c r="AF178" s="19" t="str">
        <f aca="false">IF($B178="","",IF(AND(Consulta!$B$11="Sim",$L178&lt;&gt;"Sim"),-9999,IF($H178=Consulta!$B$5,-9999,IF(AND(Consulta!$B$3&lt;&gt;"Qualquer",ISNUMBER(SEARCH(Consulta!$B$3,$AA178))),-9999,IF(AND(Consulta!$B$10="Sim",$V178&lt;&gt;"Sim"),-9999,IF(OR(Consulta!$B$3="Qualquer",ISNUMBER(SEARCH(Consulta!$B$3,$P178))),3,0)+IF(OR(Consulta!$B$12="Qualquer",ISNUMBER(SEARCH(Consulta!$B$12,$Q178))),2,0)+IF(OR(Consulta!$B$4="Qualquer",ISNUMBER(SEARCH(Consulta!$B$4,$R178))),3,0)+IF(Consulta!$B$6="Qualquer",0,IF($O178=Consulta!$B$6,2,-1))+IF(Consulta!$B$7="Não",0,IF($U178="Sim",3,IF($U178="Não",-6,0)))+IF(Consulta!$B$8="Qualquer",0,IF($C178=Consulta!$B$8,2,-3))+IF(Consulta!$B$9="Qualquer",0,IF($D178=Consulta!$B$9,2,-1))+IF($N178="",0,$N178)-ROW()/100000)))))</f>
        <v/>
      </c>
    </row>
    <row r="179" customFormat="false" ht="15" hidden="false" customHeight="false" outlineLevel="0" collapsed="false">
      <c r="A179" s="14"/>
      <c r="B179" s="15"/>
      <c r="C179" s="14"/>
      <c r="D179" s="14"/>
      <c r="E179" s="15"/>
      <c r="F179" s="14"/>
      <c r="G179" s="14"/>
      <c r="H179" s="14"/>
      <c r="I179" s="15"/>
      <c r="J179" s="14"/>
      <c r="K179" s="15"/>
      <c r="L179" s="16"/>
      <c r="M179" s="17"/>
      <c r="N179" s="16"/>
      <c r="O179" s="16"/>
      <c r="P179" s="18"/>
      <c r="Q179" s="16"/>
      <c r="R179" s="18"/>
      <c r="S179" s="16"/>
      <c r="T179" s="16"/>
      <c r="U179" s="16"/>
      <c r="V179" s="16"/>
      <c r="W179" s="16"/>
      <c r="X179" s="16"/>
      <c r="Y179" s="16"/>
      <c r="Z179" s="16"/>
      <c r="AA179" s="18"/>
      <c r="AB179" s="18"/>
      <c r="AC179" s="18"/>
      <c r="AD179" s="18"/>
      <c r="AE179" s="18"/>
      <c r="AF179" s="19" t="str">
        <f aca="false">IF($B179="","",IF(AND(Consulta!$B$11="Sim",$L179&lt;&gt;"Sim"),-9999,IF($H179=Consulta!$B$5,-9999,IF(AND(Consulta!$B$3&lt;&gt;"Qualquer",ISNUMBER(SEARCH(Consulta!$B$3,$AA179))),-9999,IF(AND(Consulta!$B$10="Sim",$V179&lt;&gt;"Sim"),-9999,IF(OR(Consulta!$B$3="Qualquer",ISNUMBER(SEARCH(Consulta!$B$3,$P179))),3,0)+IF(OR(Consulta!$B$12="Qualquer",ISNUMBER(SEARCH(Consulta!$B$12,$Q179))),2,0)+IF(OR(Consulta!$B$4="Qualquer",ISNUMBER(SEARCH(Consulta!$B$4,$R179))),3,0)+IF(Consulta!$B$6="Qualquer",0,IF($O179=Consulta!$B$6,2,-1))+IF(Consulta!$B$7="Não",0,IF($U179="Sim",3,IF($U179="Não",-6,0)))+IF(Consulta!$B$8="Qualquer",0,IF($C179=Consulta!$B$8,2,-3))+IF(Consulta!$B$9="Qualquer",0,IF($D179=Consulta!$B$9,2,-1))+IF($N179="",0,$N179)-ROW()/100000)))))</f>
        <v/>
      </c>
    </row>
    <row r="180" customFormat="false" ht="15" hidden="false" customHeight="false" outlineLevel="0" collapsed="false">
      <c r="A180" s="14"/>
      <c r="B180" s="15"/>
      <c r="C180" s="14"/>
      <c r="D180" s="14"/>
      <c r="E180" s="15"/>
      <c r="F180" s="14"/>
      <c r="G180" s="14"/>
      <c r="H180" s="14"/>
      <c r="I180" s="15"/>
      <c r="J180" s="14"/>
      <c r="K180" s="15"/>
      <c r="L180" s="16"/>
      <c r="M180" s="17"/>
      <c r="N180" s="16"/>
      <c r="O180" s="16"/>
      <c r="P180" s="18"/>
      <c r="Q180" s="16"/>
      <c r="R180" s="18"/>
      <c r="S180" s="16"/>
      <c r="T180" s="16"/>
      <c r="U180" s="16"/>
      <c r="V180" s="16"/>
      <c r="W180" s="16"/>
      <c r="X180" s="16"/>
      <c r="Y180" s="16"/>
      <c r="Z180" s="16"/>
      <c r="AA180" s="18"/>
      <c r="AB180" s="18"/>
      <c r="AC180" s="18"/>
      <c r="AD180" s="18"/>
      <c r="AE180" s="18"/>
      <c r="AF180" s="19" t="str">
        <f aca="false">IF($B180="","",IF(AND(Consulta!$B$11="Sim",$L180&lt;&gt;"Sim"),-9999,IF($H180=Consulta!$B$5,-9999,IF(AND(Consulta!$B$3&lt;&gt;"Qualquer",ISNUMBER(SEARCH(Consulta!$B$3,$AA180))),-9999,IF(AND(Consulta!$B$10="Sim",$V180&lt;&gt;"Sim"),-9999,IF(OR(Consulta!$B$3="Qualquer",ISNUMBER(SEARCH(Consulta!$B$3,$P180))),3,0)+IF(OR(Consulta!$B$12="Qualquer",ISNUMBER(SEARCH(Consulta!$B$12,$Q180))),2,0)+IF(OR(Consulta!$B$4="Qualquer",ISNUMBER(SEARCH(Consulta!$B$4,$R180))),3,0)+IF(Consulta!$B$6="Qualquer",0,IF($O180=Consulta!$B$6,2,-1))+IF(Consulta!$B$7="Não",0,IF($U180="Sim",3,IF($U180="Não",-6,0)))+IF(Consulta!$B$8="Qualquer",0,IF($C180=Consulta!$B$8,2,-3))+IF(Consulta!$B$9="Qualquer",0,IF($D180=Consulta!$B$9,2,-1))+IF($N180="",0,$N180)-ROW()/100000)))))</f>
        <v/>
      </c>
    </row>
    <row r="181" customFormat="false" ht="15" hidden="false" customHeight="false" outlineLevel="0" collapsed="false">
      <c r="A181" s="14"/>
      <c r="B181" s="15"/>
      <c r="C181" s="14"/>
      <c r="D181" s="14"/>
      <c r="E181" s="15"/>
      <c r="F181" s="14"/>
      <c r="G181" s="14"/>
      <c r="H181" s="14"/>
      <c r="I181" s="15"/>
      <c r="J181" s="14"/>
      <c r="K181" s="15"/>
      <c r="L181" s="16"/>
      <c r="M181" s="17"/>
      <c r="N181" s="16"/>
      <c r="O181" s="16"/>
      <c r="P181" s="18"/>
      <c r="Q181" s="16"/>
      <c r="R181" s="18"/>
      <c r="S181" s="16"/>
      <c r="T181" s="16"/>
      <c r="U181" s="16"/>
      <c r="V181" s="16"/>
      <c r="W181" s="16"/>
      <c r="X181" s="16"/>
      <c r="Y181" s="16"/>
      <c r="Z181" s="16"/>
      <c r="AA181" s="18"/>
      <c r="AB181" s="18"/>
      <c r="AC181" s="18"/>
      <c r="AD181" s="18"/>
      <c r="AE181" s="18"/>
      <c r="AF181" s="19" t="str">
        <f aca="false">IF($B181="","",IF(AND(Consulta!$B$11="Sim",$L181&lt;&gt;"Sim"),-9999,IF($H181=Consulta!$B$5,-9999,IF(AND(Consulta!$B$3&lt;&gt;"Qualquer",ISNUMBER(SEARCH(Consulta!$B$3,$AA181))),-9999,IF(AND(Consulta!$B$10="Sim",$V181&lt;&gt;"Sim"),-9999,IF(OR(Consulta!$B$3="Qualquer",ISNUMBER(SEARCH(Consulta!$B$3,$P181))),3,0)+IF(OR(Consulta!$B$12="Qualquer",ISNUMBER(SEARCH(Consulta!$B$12,$Q181))),2,0)+IF(OR(Consulta!$B$4="Qualquer",ISNUMBER(SEARCH(Consulta!$B$4,$R181))),3,0)+IF(Consulta!$B$6="Qualquer",0,IF($O181=Consulta!$B$6,2,-1))+IF(Consulta!$B$7="Não",0,IF($U181="Sim",3,IF($U181="Não",-6,0)))+IF(Consulta!$B$8="Qualquer",0,IF($C181=Consulta!$B$8,2,-3))+IF(Consulta!$B$9="Qualquer",0,IF($D181=Consulta!$B$9,2,-1))+IF($N181="",0,$N181)-ROW()/100000)))))</f>
        <v/>
      </c>
    </row>
    <row r="182" customFormat="false" ht="15" hidden="false" customHeight="false" outlineLevel="0" collapsed="false">
      <c r="A182" s="14"/>
      <c r="B182" s="15"/>
      <c r="C182" s="14"/>
      <c r="D182" s="14"/>
      <c r="E182" s="15"/>
      <c r="F182" s="14"/>
      <c r="G182" s="14"/>
      <c r="H182" s="14"/>
      <c r="I182" s="15"/>
      <c r="J182" s="14"/>
      <c r="K182" s="15"/>
      <c r="L182" s="16"/>
      <c r="M182" s="17"/>
      <c r="N182" s="16"/>
      <c r="O182" s="16"/>
      <c r="P182" s="18"/>
      <c r="Q182" s="16"/>
      <c r="R182" s="18"/>
      <c r="S182" s="16"/>
      <c r="T182" s="16"/>
      <c r="U182" s="16"/>
      <c r="V182" s="16"/>
      <c r="W182" s="16"/>
      <c r="X182" s="16"/>
      <c r="Y182" s="16"/>
      <c r="Z182" s="16"/>
      <c r="AA182" s="18"/>
      <c r="AB182" s="18"/>
      <c r="AC182" s="18"/>
      <c r="AD182" s="18"/>
      <c r="AE182" s="18"/>
      <c r="AF182" s="19" t="str">
        <f aca="false">IF($B182="","",IF(AND(Consulta!$B$11="Sim",$L182&lt;&gt;"Sim"),-9999,IF($H182=Consulta!$B$5,-9999,IF(AND(Consulta!$B$3&lt;&gt;"Qualquer",ISNUMBER(SEARCH(Consulta!$B$3,$AA182))),-9999,IF(AND(Consulta!$B$10="Sim",$V182&lt;&gt;"Sim"),-9999,IF(OR(Consulta!$B$3="Qualquer",ISNUMBER(SEARCH(Consulta!$B$3,$P182))),3,0)+IF(OR(Consulta!$B$12="Qualquer",ISNUMBER(SEARCH(Consulta!$B$12,$Q182))),2,0)+IF(OR(Consulta!$B$4="Qualquer",ISNUMBER(SEARCH(Consulta!$B$4,$R182))),3,0)+IF(Consulta!$B$6="Qualquer",0,IF($O182=Consulta!$B$6,2,-1))+IF(Consulta!$B$7="Não",0,IF($U182="Sim",3,IF($U182="Não",-6,0)))+IF(Consulta!$B$8="Qualquer",0,IF($C182=Consulta!$B$8,2,-3))+IF(Consulta!$B$9="Qualquer",0,IF($D182=Consulta!$B$9,2,-1))+IF($N182="",0,$N182)-ROW()/100000)))))</f>
        <v/>
      </c>
    </row>
    <row r="183" customFormat="false" ht="15" hidden="false" customHeight="false" outlineLevel="0" collapsed="false">
      <c r="A183" s="14"/>
      <c r="B183" s="15"/>
      <c r="C183" s="14"/>
      <c r="D183" s="14"/>
      <c r="E183" s="15"/>
      <c r="F183" s="14"/>
      <c r="G183" s="14"/>
      <c r="H183" s="14"/>
      <c r="I183" s="15"/>
      <c r="J183" s="14"/>
      <c r="K183" s="15"/>
      <c r="L183" s="16"/>
      <c r="M183" s="17"/>
      <c r="N183" s="16"/>
      <c r="O183" s="16"/>
      <c r="P183" s="18"/>
      <c r="Q183" s="16"/>
      <c r="R183" s="18"/>
      <c r="S183" s="16"/>
      <c r="T183" s="16"/>
      <c r="U183" s="16"/>
      <c r="V183" s="16"/>
      <c r="W183" s="16"/>
      <c r="X183" s="16"/>
      <c r="Y183" s="16"/>
      <c r="Z183" s="16"/>
      <c r="AA183" s="18"/>
      <c r="AB183" s="18"/>
      <c r="AC183" s="18"/>
      <c r="AD183" s="18"/>
      <c r="AE183" s="18"/>
      <c r="AF183" s="19" t="str">
        <f aca="false">IF($B183="","",IF(AND(Consulta!$B$11="Sim",$L183&lt;&gt;"Sim"),-9999,IF($H183=Consulta!$B$5,-9999,IF(AND(Consulta!$B$3&lt;&gt;"Qualquer",ISNUMBER(SEARCH(Consulta!$B$3,$AA183))),-9999,IF(AND(Consulta!$B$10="Sim",$V183&lt;&gt;"Sim"),-9999,IF(OR(Consulta!$B$3="Qualquer",ISNUMBER(SEARCH(Consulta!$B$3,$P183))),3,0)+IF(OR(Consulta!$B$12="Qualquer",ISNUMBER(SEARCH(Consulta!$B$12,$Q183))),2,0)+IF(OR(Consulta!$B$4="Qualquer",ISNUMBER(SEARCH(Consulta!$B$4,$R183))),3,0)+IF(Consulta!$B$6="Qualquer",0,IF($O183=Consulta!$B$6,2,-1))+IF(Consulta!$B$7="Não",0,IF($U183="Sim",3,IF($U183="Não",-6,0)))+IF(Consulta!$B$8="Qualquer",0,IF($C183=Consulta!$B$8,2,-3))+IF(Consulta!$B$9="Qualquer",0,IF($D183=Consulta!$B$9,2,-1))+IF($N183="",0,$N183)-ROW()/100000)))))</f>
        <v/>
      </c>
    </row>
    <row r="184" customFormat="false" ht="15" hidden="false" customHeight="false" outlineLevel="0" collapsed="false">
      <c r="A184" s="14"/>
      <c r="B184" s="15"/>
      <c r="C184" s="14"/>
      <c r="D184" s="14"/>
      <c r="E184" s="15"/>
      <c r="F184" s="14"/>
      <c r="G184" s="14"/>
      <c r="H184" s="14"/>
      <c r="I184" s="15"/>
      <c r="J184" s="14"/>
      <c r="K184" s="15"/>
      <c r="L184" s="16"/>
      <c r="M184" s="17"/>
      <c r="N184" s="16"/>
      <c r="O184" s="16"/>
      <c r="P184" s="18"/>
      <c r="Q184" s="16"/>
      <c r="R184" s="18"/>
      <c r="S184" s="16"/>
      <c r="T184" s="16"/>
      <c r="U184" s="16"/>
      <c r="V184" s="16"/>
      <c r="W184" s="16"/>
      <c r="X184" s="16"/>
      <c r="Y184" s="16"/>
      <c r="Z184" s="16"/>
      <c r="AA184" s="18"/>
      <c r="AB184" s="18"/>
      <c r="AC184" s="18"/>
      <c r="AD184" s="18"/>
      <c r="AE184" s="18"/>
      <c r="AF184" s="19" t="str">
        <f aca="false">IF($B184="","",IF(AND(Consulta!$B$11="Sim",$L184&lt;&gt;"Sim"),-9999,IF($H184=Consulta!$B$5,-9999,IF(AND(Consulta!$B$3&lt;&gt;"Qualquer",ISNUMBER(SEARCH(Consulta!$B$3,$AA184))),-9999,IF(AND(Consulta!$B$10="Sim",$V184&lt;&gt;"Sim"),-9999,IF(OR(Consulta!$B$3="Qualquer",ISNUMBER(SEARCH(Consulta!$B$3,$P184))),3,0)+IF(OR(Consulta!$B$12="Qualquer",ISNUMBER(SEARCH(Consulta!$B$12,$Q184))),2,0)+IF(OR(Consulta!$B$4="Qualquer",ISNUMBER(SEARCH(Consulta!$B$4,$R184))),3,0)+IF(Consulta!$B$6="Qualquer",0,IF($O184=Consulta!$B$6,2,-1))+IF(Consulta!$B$7="Não",0,IF($U184="Sim",3,IF($U184="Não",-6,0)))+IF(Consulta!$B$8="Qualquer",0,IF($C184=Consulta!$B$8,2,-3))+IF(Consulta!$B$9="Qualquer",0,IF($D184=Consulta!$B$9,2,-1))+IF($N184="",0,$N184)-ROW()/100000)))))</f>
        <v/>
      </c>
    </row>
    <row r="185" customFormat="false" ht="15" hidden="false" customHeight="false" outlineLevel="0" collapsed="false">
      <c r="A185" s="14"/>
      <c r="B185" s="15"/>
      <c r="C185" s="14"/>
      <c r="D185" s="14"/>
      <c r="E185" s="15"/>
      <c r="F185" s="14"/>
      <c r="G185" s="14"/>
      <c r="H185" s="14"/>
      <c r="I185" s="15"/>
      <c r="J185" s="14"/>
      <c r="K185" s="15"/>
      <c r="L185" s="16"/>
      <c r="M185" s="17"/>
      <c r="N185" s="16"/>
      <c r="O185" s="16"/>
      <c r="P185" s="18"/>
      <c r="Q185" s="16"/>
      <c r="R185" s="18"/>
      <c r="S185" s="16"/>
      <c r="T185" s="16"/>
      <c r="U185" s="16"/>
      <c r="V185" s="16"/>
      <c r="W185" s="16"/>
      <c r="X185" s="16"/>
      <c r="Y185" s="16"/>
      <c r="Z185" s="16"/>
      <c r="AA185" s="18"/>
      <c r="AB185" s="18"/>
      <c r="AC185" s="18"/>
      <c r="AD185" s="18"/>
      <c r="AE185" s="18"/>
      <c r="AF185" s="19" t="str">
        <f aca="false">IF($B185="","",IF(AND(Consulta!$B$11="Sim",$L185&lt;&gt;"Sim"),-9999,IF($H185=Consulta!$B$5,-9999,IF(AND(Consulta!$B$3&lt;&gt;"Qualquer",ISNUMBER(SEARCH(Consulta!$B$3,$AA185))),-9999,IF(AND(Consulta!$B$10="Sim",$V185&lt;&gt;"Sim"),-9999,IF(OR(Consulta!$B$3="Qualquer",ISNUMBER(SEARCH(Consulta!$B$3,$P185))),3,0)+IF(OR(Consulta!$B$12="Qualquer",ISNUMBER(SEARCH(Consulta!$B$12,$Q185))),2,0)+IF(OR(Consulta!$B$4="Qualquer",ISNUMBER(SEARCH(Consulta!$B$4,$R185))),3,0)+IF(Consulta!$B$6="Qualquer",0,IF($O185=Consulta!$B$6,2,-1))+IF(Consulta!$B$7="Não",0,IF($U185="Sim",3,IF($U185="Não",-6,0)))+IF(Consulta!$B$8="Qualquer",0,IF($C185=Consulta!$B$8,2,-3))+IF(Consulta!$B$9="Qualquer",0,IF($D185=Consulta!$B$9,2,-1))+IF($N185="",0,$N185)-ROW()/100000)))))</f>
        <v/>
      </c>
    </row>
    <row r="186" customFormat="false" ht="15" hidden="false" customHeight="false" outlineLevel="0" collapsed="false">
      <c r="A186" s="14"/>
      <c r="B186" s="15"/>
      <c r="C186" s="14"/>
      <c r="D186" s="14"/>
      <c r="E186" s="15"/>
      <c r="F186" s="14"/>
      <c r="G186" s="14"/>
      <c r="H186" s="14"/>
      <c r="I186" s="15"/>
      <c r="J186" s="14"/>
      <c r="K186" s="15"/>
      <c r="L186" s="16"/>
      <c r="M186" s="17"/>
      <c r="N186" s="16"/>
      <c r="O186" s="16"/>
      <c r="P186" s="18"/>
      <c r="Q186" s="16"/>
      <c r="R186" s="18"/>
      <c r="S186" s="16"/>
      <c r="T186" s="16"/>
      <c r="U186" s="16"/>
      <c r="V186" s="16"/>
      <c r="W186" s="16"/>
      <c r="X186" s="16"/>
      <c r="Y186" s="16"/>
      <c r="Z186" s="16"/>
      <c r="AA186" s="18"/>
      <c r="AB186" s="18"/>
      <c r="AC186" s="18"/>
      <c r="AD186" s="18"/>
      <c r="AE186" s="18"/>
      <c r="AF186" s="19" t="str">
        <f aca="false">IF($B186="","",IF(AND(Consulta!$B$11="Sim",$L186&lt;&gt;"Sim"),-9999,IF($H186=Consulta!$B$5,-9999,IF(AND(Consulta!$B$3&lt;&gt;"Qualquer",ISNUMBER(SEARCH(Consulta!$B$3,$AA186))),-9999,IF(AND(Consulta!$B$10="Sim",$V186&lt;&gt;"Sim"),-9999,IF(OR(Consulta!$B$3="Qualquer",ISNUMBER(SEARCH(Consulta!$B$3,$P186))),3,0)+IF(OR(Consulta!$B$12="Qualquer",ISNUMBER(SEARCH(Consulta!$B$12,$Q186))),2,0)+IF(OR(Consulta!$B$4="Qualquer",ISNUMBER(SEARCH(Consulta!$B$4,$R186))),3,0)+IF(Consulta!$B$6="Qualquer",0,IF($O186=Consulta!$B$6,2,-1))+IF(Consulta!$B$7="Não",0,IF($U186="Sim",3,IF($U186="Não",-6,0)))+IF(Consulta!$B$8="Qualquer",0,IF($C186=Consulta!$B$8,2,-3))+IF(Consulta!$B$9="Qualquer",0,IF($D186=Consulta!$B$9,2,-1))+IF($N186="",0,$N186)-ROW()/100000)))))</f>
        <v/>
      </c>
    </row>
    <row r="187" customFormat="false" ht="15" hidden="false" customHeight="false" outlineLevel="0" collapsed="false">
      <c r="A187" s="14"/>
      <c r="B187" s="15"/>
      <c r="C187" s="14"/>
      <c r="D187" s="14"/>
      <c r="E187" s="15"/>
      <c r="F187" s="14"/>
      <c r="G187" s="14"/>
      <c r="H187" s="14"/>
      <c r="I187" s="15"/>
      <c r="J187" s="14"/>
      <c r="K187" s="15"/>
      <c r="L187" s="16"/>
      <c r="M187" s="17"/>
      <c r="N187" s="16"/>
      <c r="O187" s="16"/>
      <c r="P187" s="18"/>
      <c r="Q187" s="16"/>
      <c r="R187" s="18"/>
      <c r="S187" s="16"/>
      <c r="T187" s="16"/>
      <c r="U187" s="16"/>
      <c r="V187" s="16"/>
      <c r="W187" s="16"/>
      <c r="X187" s="16"/>
      <c r="Y187" s="16"/>
      <c r="Z187" s="16"/>
      <c r="AA187" s="18"/>
      <c r="AB187" s="18"/>
      <c r="AC187" s="18"/>
      <c r="AD187" s="18"/>
      <c r="AE187" s="18"/>
      <c r="AF187" s="19" t="str">
        <f aca="false">IF($B187="","",IF(AND(Consulta!$B$11="Sim",$L187&lt;&gt;"Sim"),-9999,IF($H187=Consulta!$B$5,-9999,IF(AND(Consulta!$B$3&lt;&gt;"Qualquer",ISNUMBER(SEARCH(Consulta!$B$3,$AA187))),-9999,IF(AND(Consulta!$B$10="Sim",$V187&lt;&gt;"Sim"),-9999,IF(OR(Consulta!$B$3="Qualquer",ISNUMBER(SEARCH(Consulta!$B$3,$P187))),3,0)+IF(OR(Consulta!$B$12="Qualquer",ISNUMBER(SEARCH(Consulta!$B$12,$Q187))),2,0)+IF(OR(Consulta!$B$4="Qualquer",ISNUMBER(SEARCH(Consulta!$B$4,$R187))),3,0)+IF(Consulta!$B$6="Qualquer",0,IF($O187=Consulta!$B$6,2,-1))+IF(Consulta!$B$7="Não",0,IF($U187="Sim",3,IF($U187="Não",-6,0)))+IF(Consulta!$B$8="Qualquer",0,IF($C187=Consulta!$B$8,2,-3))+IF(Consulta!$B$9="Qualquer",0,IF($D187=Consulta!$B$9,2,-1))+IF($N187="",0,$N187)-ROW()/100000)))))</f>
        <v/>
      </c>
    </row>
    <row r="188" customFormat="false" ht="15" hidden="false" customHeight="false" outlineLevel="0" collapsed="false">
      <c r="A188" s="14"/>
      <c r="B188" s="15"/>
      <c r="C188" s="14"/>
      <c r="D188" s="14"/>
      <c r="E188" s="15"/>
      <c r="F188" s="14"/>
      <c r="G188" s="14"/>
      <c r="H188" s="14"/>
      <c r="I188" s="15"/>
      <c r="J188" s="14"/>
      <c r="K188" s="15"/>
      <c r="L188" s="16"/>
      <c r="M188" s="17"/>
      <c r="N188" s="16"/>
      <c r="O188" s="16"/>
      <c r="P188" s="18"/>
      <c r="Q188" s="16"/>
      <c r="R188" s="18"/>
      <c r="S188" s="16"/>
      <c r="T188" s="16"/>
      <c r="U188" s="16"/>
      <c r="V188" s="16"/>
      <c r="W188" s="16"/>
      <c r="X188" s="16"/>
      <c r="Y188" s="16"/>
      <c r="Z188" s="16"/>
      <c r="AA188" s="18"/>
      <c r="AB188" s="18"/>
      <c r="AC188" s="18"/>
      <c r="AD188" s="18"/>
      <c r="AE188" s="18"/>
      <c r="AF188" s="19" t="str">
        <f aca="false">IF($B188="","",IF(AND(Consulta!$B$11="Sim",$L188&lt;&gt;"Sim"),-9999,IF($H188=Consulta!$B$5,-9999,IF(AND(Consulta!$B$3&lt;&gt;"Qualquer",ISNUMBER(SEARCH(Consulta!$B$3,$AA188))),-9999,IF(AND(Consulta!$B$10="Sim",$V188&lt;&gt;"Sim"),-9999,IF(OR(Consulta!$B$3="Qualquer",ISNUMBER(SEARCH(Consulta!$B$3,$P188))),3,0)+IF(OR(Consulta!$B$12="Qualquer",ISNUMBER(SEARCH(Consulta!$B$12,$Q188))),2,0)+IF(OR(Consulta!$B$4="Qualquer",ISNUMBER(SEARCH(Consulta!$B$4,$R188))),3,0)+IF(Consulta!$B$6="Qualquer",0,IF($O188=Consulta!$B$6,2,-1))+IF(Consulta!$B$7="Não",0,IF($U188="Sim",3,IF($U188="Não",-6,0)))+IF(Consulta!$B$8="Qualquer",0,IF($C188=Consulta!$B$8,2,-3))+IF(Consulta!$B$9="Qualquer",0,IF($D188=Consulta!$B$9,2,-1))+IF($N188="",0,$N188)-ROW()/100000)))))</f>
        <v/>
      </c>
    </row>
    <row r="189" customFormat="false" ht="15" hidden="false" customHeight="false" outlineLevel="0" collapsed="false">
      <c r="A189" s="14"/>
      <c r="B189" s="15"/>
      <c r="C189" s="14"/>
      <c r="D189" s="14"/>
      <c r="E189" s="15"/>
      <c r="F189" s="14"/>
      <c r="G189" s="14"/>
      <c r="H189" s="14"/>
      <c r="I189" s="15"/>
      <c r="J189" s="14"/>
      <c r="K189" s="15"/>
      <c r="L189" s="16"/>
      <c r="M189" s="17"/>
      <c r="N189" s="16"/>
      <c r="O189" s="16"/>
      <c r="P189" s="18"/>
      <c r="Q189" s="16"/>
      <c r="R189" s="18"/>
      <c r="S189" s="16"/>
      <c r="T189" s="16"/>
      <c r="U189" s="16"/>
      <c r="V189" s="16"/>
      <c r="W189" s="16"/>
      <c r="X189" s="16"/>
      <c r="Y189" s="16"/>
      <c r="Z189" s="16"/>
      <c r="AA189" s="18"/>
      <c r="AB189" s="18"/>
      <c r="AC189" s="18"/>
      <c r="AD189" s="18"/>
      <c r="AE189" s="18"/>
      <c r="AF189" s="19" t="str">
        <f aca="false">IF($B189="","",IF(AND(Consulta!$B$11="Sim",$L189&lt;&gt;"Sim"),-9999,IF($H189=Consulta!$B$5,-9999,IF(AND(Consulta!$B$3&lt;&gt;"Qualquer",ISNUMBER(SEARCH(Consulta!$B$3,$AA189))),-9999,IF(AND(Consulta!$B$10="Sim",$V189&lt;&gt;"Sim"),-9999,IF(OR(Consulta!$B$3="Qualquer",ISNUMBER(SEARCH(Consulta!$B$3,$P189))),3,0)+IF(OR(Consulta!$B$12="Qualquer",ISNUMBER(SEARCH(Consulta!$B$12,$Q189))),2,0)+IF(OR(Consulta!$B$4="Qualquer",ISNUMBER(SEARCH(Consulta!$B$4,$R189))),3,0)+IF(Consulta!$B$6="Qualquer",0,IF($O189=Consulta!$B$6,2,-1))+IF(Consulta!$B$7="Não",0,IF($U189="Sim",3,IF($U189="Não",-6,0)))+IF(Consulta!$B$8="Qualquer",0,IF($C189=Consulta!$B$8,2,-3))+IF(Consulta!$B$9="Qualquer",0,IF($D189=Consulta!$B$9,2,-1))+IF($N189="",0,$N189)-ROW()/100000)))))</f>
        <v/>
      </c>
    </row>
    <row r="190" customFormat="false" ht="15" hidden="false" customHeight="false" outlineLevel="0" collapsed="false">
      <c r="A190" s="14"/>
      <c r="B190" s="15"/>
      <c r="C190" s="14"/>
      <c r="D190" s="14"/>
      <c r="E190" s="15"/>
      <c r="F190" s="14"/>
      <c r="G190" s="14"/>
      <c r="H190" s="14"/>
      <c r="I190" s="15"/>
      <c r="J190" s="14"/>
      <c r="K190" s="15"/>
      <c r="L190" s="16"/>
      <c r="M190" s="17"/>
      <c r="N190" s="16"/>
      <c r="O190" s="16"/>
      <c r="P190" s="18"/>
      <c r="Q190" s="16"/>
      <c r="R190" s="18"/>
      <c r="S190" s="16"/>
      <c r="T190" s="16"/>
      <c r="U190" s="16"/>
      <c r="V190" s="16"/>
      <c r="W190" s="16"/>
      <c r="X190" s="16"/>
      <c r="Y190" s="16"/>
      <c r="Z190" s="16"/>
      <c r="AA190" s="18"/>
      <c r="AB190" s="18"/>
      <c r="AC190" s="18"/>
      <c r="AD190" s="18"/>
      <c r="AE190" s="18"/>
      <c r="AF190" s="19" t="str">
        <f aca="false">IF($B190="","",IF(AND(Consulta!$B$11="Sim",$L190&lt;&gt;"Sim"),-9999,IF($H190=Consulta!$B$5,-9999,IF(AND(Consulta!$B$3&lt;&gt;"Qualquer",ISNUMBER(SEARCH(Consulta!$B$3,$AA190))),-9999,IF(AND(Consulta!$B$10="Sim",$V190&lt;&gt;"Sim"),-9999,IF(OR(Consulta!$B$3="Qualquer",ISNUMBER(SEARCH(Consulta!$B$3,$P190))),3,0)+IF(OR(Consulta!$B$12="Qualquer",ISNUMBER(SEARCH(Consulta!$B$12,$Q190))),2,0)+IF(OR(Consulta!$B$4="Qualquer",ISNUMBER(SEARCH(Consulta!$B$4,$R190))),3,0)+IF(Consulta!$B$6="Qualquer",0,IF($O190=Consulta!$B$6,2,-1))+IF(Consulta!$B$7="Não",0,IF($U190="Sim",3,IF($U190="Não",-6,0)))+IF(Consulta!$B$8="Qualquer",0,IF($C190=Consulta!$B$8,2,-3))+IF(Consulta!$B$9="Qualquer",0,IF($D190=Consulta!$B$9,2,-1))+IF($N190="",0,$N190)-ROW()/100000)))))</f>
        <v/>
      </c>
    </row>
    <row r="191" customFormat="false" ht="15" hidden="false" customHeight="false" outlineLevel="0" collapsed="false">
      <c r="A191" s="14"/>
      <c r="B191" s="15"/>
      <c r="C191" s="14"/>
      <c r="D191" s="14"/>
      <c r="E191" s="15"/>
      <c r="F191" s="14"/>
      <c r="G191" s="14"/>
      <c r="H191" s="14"/>
      <c r="I191" s="15"/>
      <c r="J191" s="14"/>
      <c r="K191" s="15"/>
      <c r="L191" s="16"/>
      <c r="M191" s="17"/>
      <c r="N191" s="16"/>
      <c r="O191" s="16"/>
      <c r="P191" s="18"/>
      <c r="Q191" s="16"/>
      <c r="R191" s="18"/>
      <c r="S191" s="16"/>
      <c r="T191" s="16"/>
      <c r="U191" s="16"/>
      <c r="V191" s="16"/>
      <c r="W191" s="16"/>
      <c r="X191" s="16"/>
      <c r="Y191" s="16"/>
      <c r="Z191" s="16"/>
      <c r="AA191" s="18"/>
      <c r="AB191" s="18"/>
      <c r="AC191" s="18"/>
      <c r="AD191" s="18"/>
      <c r="AE191" s="18"/>
      <c r="AF191" s="19" t="str">
        <f aca="false">IF($B191="","",IF(AND(Consulta!$B$11="Sim",$L191&lt;&gt;"Sim"),-9999,IF($H191=Consulta!$B$5,-9999,IF(AND(Consulta!$B$3&lt;&gt;"Qualquer",ISNUMBER(SEARCH(Consulta!$B$3,$AA191))),-9999,IF(AND(Consulta!$B$10="Sim",$V191&lt;&gt;"Sim"),-9999,IF(OR(Consulta!$B$3="Qualquer",ISNUMBER(SEARCH(Consulta!$B$3,$P191))),3,0)+IF(OR(Consulta!$B$12="Qualquer",ISNUMBER(SEARCH(Consulta!$B$12,$Q191))),2,0)+IF(OR(Consulta!$B$4="Qualquer",ISNUMBER(SEARCH(Consulta!$B$4,$R191))),3,0)+IF(Consulta!$B$6="Qualquer",0,IF($O191=Consulta!$B$6,2,-1))+IF(Consulta!$B$7="Não",0,IF($U191="Sim",3,IF($U191="Não",-6,0)))+IF(Consulta!$B$8="Qualquer",0,IF($C191=Consulta!$B$8,2,-3))+IF(Consulta!$B$9="Qualquer",0,IF($D191=Consulta!$B$9,2,-1))+IF($N191="",0,$N191)-ROW()/100000)))))</f>
        <v/>
      </c>
    </row>
    <row r="192" customFormat="false" ht="15" hidden="false" customHeight="false" outlineLevel="0" collapsed="false">
      <c r="A192" s="14"/>
      <c r="B192" s="15"/>
      <c r="C192" s="14"/>
      <c r="D192" s="14"/>
      <c r="E192" s="15"/>
      <c r="F192" s="14"/>
      <c r="G192" s="14"/>
      <c r="H192" s="14"/>
      <c r="I192" s="15"/>
      <c r="J192" s="14"/>
      <c r="K192" s="15"/>
      <c r="L192" s="16"/>
      <c r="M192" s="17"/>
      <c r="N192" s="16"/>
      <c r="O192" s="16"/>
      <c r="P192" s="18"/>
      <c r="Q192" s="16"/>
      <c r="R192" s="18"/>
      <c r="S192" s="16"/>
      <c r="T192" s="16"/>
      <c r="U192" s="16"/>
      <c r="V192" s="16"/>
      <c r="W192" s="16"/>
      <c r="X192" s="16"/>
      <c r="Y192" s="16"/>
      <c r="Z192" s="16"/>
      <c r="AA192" s="18"/>
      <c r="AB192" s="18"/>
      <c r="AC192" s="18"/>
      <c r="AD192" s="18"/>
      <c r="AE192" s="18"/>
      <c r="AF192" s="19" t="str">
        <f aca="false">IF($B192="","",IF(AND(Consulta!$B$11="Sim",$L192&lt;&gt;"Sim"),-9999,IF($H192=Consulta!$B$5,-9999,IF(AND(Consulta!$B$3&lt;&gt;"Qualquer",ISNUMBER(SEARCH(Consulta!$B$3,$AA192))),-9999,IF(AND(Consulta!$B$10="Sim",$V192&lt;&gt;"Sim"),-9999,IF(OR(Consulta!$B$3="Qualquer",ISNUMBER(SEARCH(Consulta!$B$3,$P192))),3,0)+IF(OR(Consulta!$B$12="Qualquer",ISNUMBER(SEARCH(Consulta!$B$12,$Q192))),2,0)+IF(OR(Consulta!$B$4="Qualquer",ISNUMBER(SEARCH(Consulta!$B$4,$R192))),3,0)+IF(Consulta!$B$6="Qualquer",0,IF($O192=Consulta!$B$6,2,-1))+IF(Consulta!$B$7="Não",0,IF($U192="Sim",3,IF($U192="Não",-6,0)))+IF(Consulta!$B$8="Qualquer",0,IF($C192=Consulta!$B$8,2,-3))+IF(Consulta!$B$9="Qualquer",0,IF($D192=Consulta!$B$9,2,-1))+IF($N192="",0,$N192)-ROW()/100000)))))</f>
        <v/>
      </c>
    </row>
    <row r="193" customFormat="false" ht="15" hidden="false" customHeight="false" outlineLevel="0" collapsed="false">
      <c r="A193" s="14"/>
      <c r="B193" s="15"/>
      <c r="C193" s="14"/>
      <c r="D193" s="14"/>
      <c r="E193" s="15"/>
      <c r="F193" s="14"/>
      <c r="G193" s="14"/>
      <c r="H193" s="14"/>
      <c r="I193" s="15"/>
      <c r="J193" s="14"/>
      <c r="K193" s="15"/>
      <c r="L193" s="16"/>
      <c r="M193" s="17"/>
      <c r="N193" s="16"/>
      <c r="O193" s="16"/>
      <c r="P193" s="18"/>
      <c r="Q193" s="16"/>
      <c r="R193" s="18"/>
      <c r="S193" s="16"/>
      <c r="T193" s="16"/>
      <c r="U193" s="16"/>
      <c r="V193" s="16"/>
      <c r="W193" s="16"/>
      <c r="X193" s="16"/>
      <c r="Y193" s="16"/>
      <c r="Z193" s="16"/>
      <c r="AA193" s="18"/>
      <c r="AB193" s="18"/>
      <c r="AC193" s="18"/>
      <c r="AD193" s="18"/>
      <c r="AE193" s="18"/>
      <c r="AF193" s="19" t="str">
        <f aca="false">IF($B193="","",IF(AND(Consulta!$B$11="Sim",$L193&lt;&gt;"Sim"),-9999,IF($H193=Consulta!$B$5,-9999,IF(AND(Consulta!$B$3&lt;&gt;"Qualquer",ISNUMBER(SEARCH(Consulta!$B$3,$AA193))),-9999,IF(AND(Consulta!$B$10="Sim",$V193&lt;&gt;"Sim"),-9999,IF(OR(Consulta!$B$3="Qualquer",ISNUMBER(SEARCH(Consulta!$B$3,$P193))),3,0)+IF(OR(Consulta!$B$12="Qualquer",ISNUMBER(SEARCH(Consulta!$B$12,$Q193))),2,0)+IF(OR(Consulta!$B$4="Qualquer",ISNUMBER(SEARCH(Consulta!$B$4,$R193))),3,0)+IF(Consulta!$B$6="Qualquer",0,IF($O193=Consulta!$B$6,2,-1))+IF(Consulta!$B$7="Não",0,IF($U193="Sim",3,IF($U193="Não",-6,0)))+IF(Consulta!$B$8="Qualquer",0,IF($C193=Consulta!$B$8,2,-3))+IF(Consulta!$B$9="Qualquer",0,IF($D193=Consulta!$B$9,2,-1))+IF($N193="",0,$N193)-ROW()/100000)))))</f>
        <v/>
      </c>
    </row>
    <row r="194" customFormat="false" ht="15" hidden="false" customHeight="false" outlineLevel="0" collapsed="false">
      <c r="A194" s="14"/>
      <c r="B194" s="15"/>
      <c r="C194" s="14"/>
      <c r="D194" s="14"/>
      <c r="E194" s="15"/>
      <c r="F194" s="14"/>
      <c r="G194" s="14"/>
      <c r="H194" s="14"/>
      <c r="I194" s="15"/>
      <c r="J194" s="14"/>
      <c r="K194" s="15"/>
      <c r="L194" s="16"/>
      <c r="M194" s="17"/>
      <c r="N194" s="16"/>
      <c r="O194" s="16"/>
      <c r="P194" s="18"/>
      <c r="Q194" s="16"/>
      <c r="R194" s="18"/>
      <c r="S194" s="16"/>
      <c r="T194" s="16"/>
      <c r="U194" s="16"/>
      <c r="V194" s="16"/>
      <c r="W194" s="16"/>
      <c r="X194" s="16"/>
      <c r="Y194" s="16"/>
      <c r="Z194" s="16"/>
      <c r="AA194" s="18"/>
      <c r="AB194" s="18"/>
      <c r="AC194" s="18"/>
      <c r="AD194" s="18"/>
      <c r="AE194" s="18"/>
      <c r="AF194" s="19" t="str">
        <f aca="false">IF($B194="","",IF(AND(Consulta!$B$11="Sim",$L194&lt;&gt;"Sim"),-9999,IF($H194=Consulta!$B$5,-9999,IF(AND(Consulta!$B$3&lt;&gt;"Qualquer",ISNUMBER(SEARCH(Consulta!$B$3,$AA194))),-9999,IF(AND(Consulta!$B$10="Sim",$V194&lt;&gt;"Sim"),-9999,IF(OR(Consulta!$B$3="Qualquer",ISNUMBER(SEARCH(Consulta!$B$3,$P194))),3,0)+IF(OR(Consulta!$B$12="Qualquer",ISNUMBER(SEARCH(Consulta!$B$12,$Q194))),2,0)+IF(OR(Consulta!$B$4="Qualquer",ISNUMBER(SEARCH(Consulta!$B$4,$R194))),3,0)+IF(Consulta!$B$6="Qualquer",0,IF($O194=Consulta!$B$6,2,-1))+IF(Consulta!$B$7="Não",0,IF($U194="Sim",3,IF($U194="Não",-6,0)))+IF(Consulta!$B$8="Qualquer",0,IF($C194=Consulta!$B$8,2,-3))+IF(Consulta!$B$9="Qualquer",0,IF($D194=Consulta!$B$9,2,-1))+IF($N194="",0,$N194)-ROW()/100000)))))</f>
        <v/>
      </c>
    </row>
    <row r="195" customFormat="false" ht="15" hidden="false" customHeight="false" outlineLevel="0" collapsed="false">
      <c r="A195" s="14"/>
      <c r="B195" s="15"/>
      <c r="C195" s="14"/>
      <c r="D195" s="14"/>
      <c r="E195" s="15"/>
      <c r="F195" s="14"/>
      <c r="G195" s="14"/>
      <c r="H195" s="14"/>
      <c r="I195" s="15"/>
      <c r="J195" s="14"/>
      <c r="K195" s="15"/>
      <c r="L195" s="16"/>
      <c r="M195" s="17"/>
      <c r="N195" s="16"/>
      <c r="O195" s="16"/>
      <c r="P195" s="18"/>
      <c r="Q195" s="16"/>
      <c r="R195" s="18"/>
      <c r="S195" s="16"/>
      <c r="T195" s="16"/>
      <c r="U195" s="16"/>
      <c r="V195" s="16"/>
      <c r="W195" s="16"/>
      <c r="X195" s="16"/>
      <c r="Y195" s="16"/>
      <c r="Z195" s="16"/>
      <c r="AA195" s="18"/>
      <c r="AB195" s="18"/>
      <c r="AC195" s="18"/>
      <c r="AD195" s="18"/>
      <c r="AE195" s="18"/>
      <c r="AF195" s="19" t="str">
        <f aca="false">IF($B195="","",IF(AND(Consulta!$B$11="Sim",$L195&lt;&gt;"Sim"),-9999,IF($H195=Consulta!$B$5,-9999,IF(AND(Consulta!$B$3&lt;&gt;"Qualquer",ISNUMBER(SEARCH(Consulta!$B$3,$AA195))),-9999,IF(AND(Consulta!$B$10="Sim",$V195&lt;&gt;"Sim"),-9999,IF(OR(Consulta!$B$3="Qualquer",ISNUMBER(SEARCH(Consulta!$B$3,$P195))),3,0)+IF(OR(Consulta!$B$12="Qualquer",ISNUMBER(SEARCH(Consulta!$B$12,$Q195))),2,0)+IF(OR(Consulta!$B$4="Qualquer",ISNUMBER(SEARCH(Consulta!$B$4,$R195))),3,0)+IF(Consulta!$B$6="Qualquer",0,IF($O195=Consulta!$B$6,2,-1))+IF(Consulta!$B$7="Não",0,IF($U195="Sim",3,IF($U195="Não",-6,0)))+IF(Consulta!$B$8="Qualquer",0,IF($C195=Consulta!$B$8,2,-3))+IF(Consulta!$B$9="Qualquer",0,IF($D195=Consulta!$B$9,2,-1))+IF($N195="",0,$N195)-ROW()/100000)))))</f>
        <v/>
      </c>
    </row>
    <row r="196" customFormat="false" ht="15" hidden="false" customHeight="false" outlineLevel="0" collapsed="false">
      <c r="A196" s="14"/>
      <c r="B196" s="15"/>
      <c r="C196" s="14"/>
      <c r="D196" s="14"/>
      <c r="E196" s="15"/>
      <c r="F196" s="14"/>
      <c r="G196" s="14"/>
      <c r="H196" s="14"/>
      <c r="I196" s="15"/>
      <c r="J196" s="14"/>
      <c r="K196" s="15"/>
      <c r="L196" s="16"/>
      <c r="M196" s="17"/>
      <c r="N196" s="16"/>
      <c r="O196" s="16"/>
      <c r="P196" s="18"/>
      <c r="Q196" s="16"/>
      <c r="R196" s="18"/>
      <c r="S196" s="16"/>
      <c r="T196" s="16"/>
      <c r="U196" s="16"/>
      <c r="V196" s="16"/>
      <c r="W196" s="16"/>
      <c r="X196" s="16"/>
      <c r="Y196" s="16"/>
      <c r="Z196" s="16"/>
      <c r="AA196" s="18"/>
      <c r="AB196" s="18"/>
      <c r="AC196" s="18"/>
      <c r="AD196" s="18"/>
      <c r="AE196" s="18"/>
      <c r="AF196" s="19" t="str">
        <f aca="false">IF($B196="","",IF(AND(Consulta!$B$11="Sim",$L196&lt;&gt;"Sim"),-9999,IF($H196=Consulta!$B$5,-9999,IF(AND(Consulta!$B$3&lt;&gt;"Qualquer",ISNUMBER(SEARCH(Consulta!$B$3,$AA196))),-9999,IF(AND(Consulta!$B$10="Sim",$V196&lt;&gt;"Sim"),-9999,IF(OR(Consulta!$B$3="Qualquer",ISNUMBER(SEARCH(Consulta!$B$3,$P196))),3,0)+IF(OR(Consulta!$B$12="Qualquer",ISNUMBER(SEARCH(Consulta!$B$12,$Q196))),2,0)+IF(OR(Consulta!$B$4="Qualquer",ISNUMBER(SEARCH(Consulta!$B$4,$R196))),3,0)+IF(Consulta!$B$6="Qualquer",0,IF($O196=Consulta!$B$6,2,-1))+IF(Consulta!$B$7="Não",0,IF($U196="Sim",3,IF($U196="Não",-6,0)))+IF(Consulta!$B$8="Qualquer",0,IF($C196=Consulta!$B$8,2,-3))+IF(Consulta!$B$9="Qualquer",0,IF($D196=Consulta!$B$9,2,-1))+IF($N196="",0,$N196)-ROW()/100000)))))</f>
        <v/>
      </c>
    </row>
    <row r="197" customFormat="false" ht="15" hidden="false" customHeight="false" outlineLevel="0" collapsed="false">
      <c r="A197" s="14"/>
      <c r="B197" s="15"/>
      <c r="C197" s="14"/>
      <c r="D197" s="14"/>
      <c r="E197" s="15"/>
      <c r="F197" s="14"/>
      <c r="G197" s="14"/>
      <c r="H197" s="14"/>
      <c r="I197" s="15"/>
      <c r="J197" s="14"/>
      <c r="K197" s="15"/>
      <c r="L197" s="16"/>
      <c r="M197" s="17"/>
      <c r="N197" s="16"/>
      <c r="O197" s="16"/>
      <c r="P197" s="18"/>
      <c r="Q197" s="16"/>
      <c r="R197" s="18"/>
      <c r="S197" s="16"/>
      <c r="T197" s="16"/>
      <c r="U197" s="16"/>
      <c r="V197" s="16"/>
      <c r="W197" s="16"/>
      <c r="X197" s="16"/>
      <c r="Y197" s="16"/>
      <c r="Z197" s="16"/>
      <c r="AA197" s="18"/>
      <c r="AB197" s="18"/>
      <c r="AC197" s="18"/>
      <c r="AD197" s="18"/>
      <c r="AE197" s="18"/>
      <c r="AF197" s="19" t="str">
        <f aca="false">IF($B197="","",IF(AND(Consulta!$B$11="Sim",$L197&lt;&gt;"Sim"),-9999,IF($H197=Consulta!$B$5,-9999,IF(AND(Consulta!$B$3&lt;&gt;"Qualquer",ISNUMBER(SEARCH(Consulta!$B$3,$AA197))),-9999,IF(AND(Consulta!$B$10="Sim",$V197&lt;&gt;"Sim"),-9999,IF(OR(Consulta!$B$3="Qualquer",ISNUMBER(SEARCH(Consulta!$B$3,$P197))),3,0)+IF(OR(Consulta!$B$12="Qualquer",ISNUMBER(SEARCH(Consulta!$B$12,$Q197))),2,0)+IF(OR(Consulta!$B$4="Qualquer",ISNUMBER(SEARCH(Consulta!$B$4,$R197))),3,0)+IF(Consulta!$B$6="Qualquer",0,IF($O197=Consulta!$B$6,2,-1))+IF(Consulta!$B$7="Não",0,IF($U197="Sim",3,IF($U197="Não",-6,0)))+IF(Consulta!$B$8="Qualquer",0,IF($C197=Consulta!$B$8,2,-3))+IF(Consulta!$B$9="Qualquer",0,IF($D197=Consulta!$B$9,2,-1))+IF($N197="",0,$N197)-ROW()/100000)))))</f>
        <v/>
      </c>
    </row>
    <row r="198" customFormat="false" ht="15" hidden="false" customHeight="false" outlineLevel="0" collapsed="false">
      <c r="A198" s="14"/>
      <c r="B198" s="15"/>
      <c r="C198" s="14"/>
      <c r="D198" s="14"/>
      <c r="E198" s="15"/>
      <c r="F198" s="14"/>
      <c r="G198" s="14"/>
      <c r="H198" s="14"/>
      <c r="I198" s="15"/>
      <c r="J198" s="14"/>
      <c r="K198" s="15"/>
      <c r="L198" s="16"/>
      <c r="M198" s="17"/>
      <c r="N198" s="16"/>
      <c r="O198" s="16"/>
      <c r="P198" s="18"/>
      <c r="Q198" s="16"/>
      <c r="R198" s="18"/>
      <c r="S198" s="16"/>
      <c r="T198" s="16"/>
      <c r="U198" s="16"/>
      <c r="V198" s="16"/>
      <c r="W198" s="16"/>
      <c r="X198" s="16"/>
      <c r="Y198" s="16"/>
      <c r="Z198" s="16"/>
      <c r="AA198" s="18"/>
      <c r="AB198" s="18"/>
      <c r="AC198" s="18"/>
      <c r="AD198" s="18"/>
      <c r="AE198" s="18"/>
      <c r="AF198" s="19" t="str">
        <f aca="false">IF($B198="","",IF(AND(Consulta!$B$11="Sim",$L198&lt;&gt;"Sim"),-9999,IF($H198=Consulta!$B$5,-9999,IF(AND(Consulta!$B$3&lt;&gt;"Qualquer",ISNUMBER(SEARCH(Consulta!$B$3,$AA198))),-9999,IF(AND(Consulta!$B$10="Sim",$V198&lt;&gt;"Sim"),-9999,IF(OR(Consulta!$B$3="Qualquer",ISNUMBER(SEARCH(Consulta!$B$3,$P198))),3,0)+IF(OR(Consulta!$B$12="Qualquer",ISNUMBER(SEARCH(Consulta!$B$12,$Q198))),2,0)+IF(OR(Consulta!$B$4="Qualquer",ISNUMBER(SEARCH(Consulta!$B$4,$R198))),3,0)+IF(Consulta!$B$6="Qualquer",0,IF($O198=Consulta!$B$6,2,-1))+IF(Consulta!$B$7="Não",0,IF($U198="Sim",3,IF($U198="Não",-6,0)))+IF(Consulta!$B$8="Qualquer",0,IF($C198=Consulta!$B$8,2,-3))+IF(Consulta!$B$9="Qualquer",0,IF($D198=Consulta!$B$9,2,-1))+IF($N198="",0,$N198)-ROW()/100000)))))</f>
        <v/>
      </c>
    </row>
    <row r="199" customFormat="false" ht="15" hidden="false" customHeight="false" outlineLevel="0" collapsed="false">
      <c r="A199" s="14"/>
      <c r="B199" s="15"/>
      <c r="C199" s="14"/>
      <c r="D199" s="14"/>
      <c r="E199" s="15"/>
      <c r="F199" s="14"/>
      <c r="G199" s="14"/>
      <c r="H199" s="14"/>
      <c r="I199" s="15"/>
      <c r="J199" s="14"/>
      <c r="K199" s="15"/>
      <c r="L199" s="16"/>
      <c r="M199" s="17"/>
      <c r="N199" s="16"/>
      <c r="O199" s="16"/>
      <c r="P199" s="18"/>
      <c r="Q199" s="16"/>
      <c r="R199" s="18"/>
      <c r="S199" s="16"/>
      <c r="T199" s="16"/>
      <c r="U199" s="16"/>
      <c r="V199" s="16"/>
      <c r="W199" s="16"/>
      <c r="X199" s="16"/>
      <c r="Y199" s="16"/>
      <c r="Z199" s="16"/>
      <c r="AA199" s="18"/>
      <c r="AB199" s="18"/>
      <c r="AC199" s="18"/>
      <c r="AD199" s="18"/>
      <c r="AE199" s="18"/>
      <c r="AF199" s="19" t="str">
        <f aca="false">IF($B199="","",IF(AND(Consulta!$B$11="Sim",$L199&lt;&gt;"Sim"),-9999,IF($H199=Consulta!$B$5,-9999,IF(AND(Consulta!$B$3&lt;&gt;"Qualquer",ISNUMBER(SEARCH(Consulta!$B$3,$AA199))),-9999,IF(AND(Consulta!$B$10="Sim",$V199&lt;&gt;"Sim"),-9999,IF(OR(Consulta!$B$3="Qualquer",ISNUMBER(SEARCH(Consulta!$B$3,$P199))),3,0)+IF(OR(Consulta!$B$12="Qualquer",ISNUMBER(SEARCH(Consulta!$B$12,$Q199))),2,0)+IF(OR(Consulta!$B$4="Qualquer",ISNUMBER(SEARCH(Consulta!$B$4,$R199))),3,0)+IF(Consulta!$B$6="Qualquer",0,IF($O199=Consulta!$B$6,2,-1))+IF(Consulta!$B$7="Não",0,IF($U199="Sim",3,IF($U199="Não",-6,0)))+IF(Consulta!$B$8="Qualquer",0,IF($C199=Consulta!$B$8,2,-3))+IF(Consulta!$B$9="Qualquer",0,IF($D199=Consulta!$B$9,2,-1))+IF($N199="",0,$N199)-ROW()/100000)))))</f>
        <v/>
      </c>
    </row>
    <row r="200" customFormat="false" ht="15" hidden="false" customHeight="false" outlineLevel="0" collapsed="false">
      <c r="A200" s="14"/>
      <c r="B200" s="15"/>
      <c r="C200" s="14"/>
      <c r="D200" s="14"/>
      <c r="E200" s="15"/>
      <c r="F200" s="14"/>
      <c r="G200" s="14"/>
      <c r="H200" s="14"/>
      <c r="I200" s="15"/>
      <c r="J200" s="14"/>
      <c r="K200" s="15"/>
      <c r="L200" s="16"/>
      <c r="M200" s="17"/>
      <c r="N200" s="16"/>
      <c r="O200" s="16"/>
      <c r="P200" s="18"/>
      <c r="Q200" s="16"/>
      <c r="R200" s="18"/>
      <c r="S200" s="16"/>
      <c r="T200" s="16"/>
      <c r="U200" s="16"/>
      <c r="V200" s="16"/>
      <c r="W200" s="16"/>
      <c r="X200" s="16"/>
      <c r="Y200" s="16"/>
      <c r="Z200" s="16"/>
      <c r="AA200" s="18"/>
      <c r="AB200" s="18"/>
      <c r="AC200" s="18"/>
      <c r="AD200" s="18"/>
      <c r="AE200" s="18"/>
      <c r="AF200" s="19" t="str">
        <f aca="false">IF($B200="","",IF(AND(Consulta!$B$11="Sim",$L200&lt;&gt;"Sim"),-9999,IF($H200=Consulta!$B$5,-9999,IF(AND(Consulta!$B$3&lt;&gt;"Qualquer",ISNUMBER(SEARCH(Consulta!$B$3,$AA200))),-9999,IF(AND(Consulta!$B$10="Sim",$V200&lt;&gt;"Sim"),-9999,IF(OR(Consulta!$B$3="Qualquer",ISNUMBER(SEARCH(Consulta!$B$3,$P200))),3,0)+IF(OR(Consulta!$B$12="Qualquer",ISNUMBER(SEARCH(Consulta!$B$12,$Q200))),2,0)+IF(OR(Consulta!$B$4="Qualquer",ISNUMBER(SEARCH(Consulta!$B$4,$R200))),3,0)+IF(Consulta!$B$6="Qualquer",0,IF($O200=Consulta!$B$6,2,-1))+IF(Consulta!$B$7="Não",0,IF($U200="Sim",3,IF($U200="Não",-6,0)))+IF(Consulta!$B$8="Qualquer",0,IF($C200=Consulta!$B$8,2,-3))+IF(Consulta!$B$9="Qualquer",0,IF($D200=Consulta!$B$9,2,-1))+IF($N200="",0,$N200)-ROW()/100000)))))</f>
        <v/>
      </c>
    </row>
    <row r="201" customFormat="false" ht="15" hidden="false" customHeight="false" outlineLevel="0" collapsed="false">
      <c r="A201" s="14"/>
      <c r="B201" s="15"/>
      <c r="C201" s="14"/>
      <c r="D201" s="14"/>
      <c r="E201" s="15"/>
      <c r="F201" s="14"/>
      <c r="G201" s="14"/>
      <c r="H201" s="14"/>
      <c r="I201" s="15"/>
      <c r="J201" s="14"/>
      <c r="K201" s="15"/>
      <c r="L201" s="16"/>
      <c r="M201" s="17"/>
      <c r="N201" s="16"/>
      <c r="O201" s="16"/>
      <c r="P201" s="18"/>
      <c r="Q201" s="16"/>
      <c r="R201" s="18"/>
      <c r="S201" s="16"/>
      <c r="T201" s="16"/>
      <c r="U201" s="16"/>
      <c r="V201" s="16"/>
      <c r="W201" s="16"/>
      <c r="X201" s="16"/>
      <c r="Y201" s="16"/>
      <c r="Z201" s="16"/>
      <c r="AA201" s="18"/>
      <c r="AB201" s="18"/>
      <c r="AC201" s="18"/>
      <c r="AD201" s="18"/>
      <c r="AE201" s="18"/>
      <c r="AF201" s="19" t="str">
        <f aca="false">IF($B201="","",IF(AND(Consulta!$B$11="Sim",$L201&lt;&gt;"Sim"),-9999,IF($H201=Consulta!$B$5,-9999,IF(AND(Consulta!$B$3&lt;&gt;"Qualquer",ISNUMBER(SEARCH(Consulta!$B$3,$AA201))),-9999,IF(AND(Consulta!$B$10="Sim",$V201&lt;&gt;"Sim"),-9999,IF(OR(Consulta!$B$3="Qualquer",ISNUMBER(SEARCH(Consulta!$B$3,$P201))),3,0)+IF(OR(Consulta!$B$12="Qualquer",ISNUMBER(SEARCH(Consulta!$B$12,$Q201))),2,0)+IF(OR(Consulta!$B$4="Qualquer",ISNUMBER(SEARCH(Consulta!$B$4,$R201))),3,0)+IF(Consulta!$B$6="Qualquer",0,IF($O201=Consulta!$B$6,2,-1))+IF(Consulta!$B$7="Não",0,IF($U201="Sim",3,IF($U201="Não",-6,0)))+IF(Consulta!$B$8="Qualquer",0,IF($C201=Consulta!$B$8,2,-3))+IF(Consulta!$B$9="Qualquer",0,IF($D201=Consulta!$B$9,2,-1))+IF($N201="",0,$N201)-ROW()/100000)))))</f>
        <v/>
      </c>
    </row>
    <row r="202" customFormat="false" ht="15" hidden="false" customHeight="false" outlineLevel="0" collapsed="false">
      <c r="A202" s="14"/>
      <c r="B202" s="15"/>
      <c r="C202" s="14"/>
      <c r="D202" s="14"/>
      <c r="E202" s="15"/>
      <c r="F202" s="14"/>
      <c r="G202" s="14"/>
      <c r="H202" s="14"/>
      <c r="I202" s="15"/>
      <c r="J202" s="14"/>
      <c r="K202" s="15"/>
      <c r="L202" s="16"/>
      <c r="M202" s="17"/>
      <c r="N202" s="16"/>
      <c r="O202" s="16"/>
      <c r="P202" s="18"/>
      <c r="Q202" s="16"/>
      <c r="R202" s="18"/>
      <c r="S202" s="16"/>
      <c r="T202" s="16"/>
      <c r="U202" s="16"/>
      <c r="V202" s="16"/>
      <c r="W202" s="16"/>
      <c r="X202" s="16"/>
      <c r="Y202" s="16"/>
      <c r="Z202" s="16"/>
      <c r="AA202" s="18"/>
      <c r="AB202" s="18"/>
      <c r="AC202" s="18"/>
      <c r="AD202" s="18"/>
      <c r="AE202" s="18"/>
      <c r="AF202" s="19" t="str">
        <f aca="false">IF($B202="","",IF(AND(Consulta!$B$11="Sim",$L202&lt;&gt;"Sim"),-9999,IF($H202=Consulta!$B$5,-9999,IF(AND(Consulta!$B$3&lt;&gt;"Qualquer",ISNUMBER(SEARCH(Consulta!$B$3,$AA202))),-9999,IF(AND(Consulta!$B$10="Sim",$V202&lt;&gt;"Sim"),-9999,IF(OR(Consulta!$B$3="Qualquer",ISNUMBER(SEARCH(Consulta!$B$3,$P202))),3,0)+IF(OR(Consulta!$B$12="Qualquer",ISNUMBER(SEARCH(Consulta!$B$12,$Q202))),2,0)+IF(OR(Consulta!$B$4="Qualquer",ISNUMBER(SEARCH(Consulta!$B$4,$R202))),3,0)+IF(Consulta!$B$6="Qualquer",0,IF($O202=Consulta!$B$6,2,-1))+IF(Consulta!$B$7="Não",0,IF($U202="Sim",3,IF($U202="Não",-6,0)))+IF(Consulta!$B$8="Qualquer",0,IF($C202=Consulta!$B$8,2,-3))+IF(Consulta!$B$9="Qualquer",0,IF($D202=Consulta!$B$9,2,-1))+IF($N202="",0,$N202)-ROW()/100000)))))</f>
        <v/>
      </c>
    </row>
    <row r="203" customFormat="false" ht="15" hidden="false" customHeight="false" outlineLevel="0" collapsed="false">
      <c r="A203" s="14"/>
      <c r="B203" s="15"/>
      <c r="C203" s="14"/>
      <c r="D203" s="14"/>
      <c r="E203" s="15"/>
      <c r="F203" s="14"/>
      <c r="G203" s="14"/>
      <c r="H203" s="14"/>
      <c r="I203" s="15"/>
      <c r="J203" s="14"/>
      <c r="K203" s="15"/>
      <c r="L203" s="16"/>
      <c r="M203" s="17"/>
      <c r="N203" s="16"/>
      <c r="O203" s="16"/>
      <c r="P203" s="18"/>
      <c r="Q203" s="16"/>
      <c r="R203" s="18"/>
      <c r="S203" s="16"/>
      <c r="T203" s="16"/>
      <c r="U203" s="16"/>
      <c r="V203" s="16"/>
      <c r="W203" s="16"/>
      <c r="X203" s="16"/>
      <c r="Y203" s="16"/>
      <c r="Z203" s="16"/>
      <c r="AA203" s="18"/>
      <c r="AB203" s="18"/>
      <c r="AC203" s="18"/>
      <c r="AD203" s="18"/>
      <c r="AE203" s="18"/>
      <c r="AF203" s="19" t="str">
        <f aca="false">IF($B203="","",IF(AND(Consulta!$B$11="Sim",$L203&lt;&gt;"Sim"),-9999,IF($H203=Consulta!$B$5,-9999,IF(AND(Consulta!$B$3&lt;&gt;"Qualquer",ISNUMBER(SEARCH(Consulta!$B$3,$AA203))),-9999,IF(AND(Consulta!$B$10="Sim",$V203&lt;&gt;"Sim"),-9999,IF(OR(Consulta!$B$3="Qualquer",ISNUMBER(SEARCH(Consulta!$B$3,$P203))),3,0)+IF(OR(Consulta!$B$12="Qualquer",ISNUMBER(SEARCH(Consulta!$B$12,$Q203))),2,0)+IF(OR(Consulta!$B$4="Qualquer",ISNUMBER(SEARCH(Consulta!$B$4,$R203))),3,0)+IF(Consulta!$B$6="Qualquer",0,IF($O203=Consulta!$B$6,2,-1))+IF(Consulta!$B$7="Não",0,IF($U203="Sim",3,IF($U203="Não",-6,0)))+IF(Consulta!$B$8="Qualquer",0,IF($C203=Consulta!$B$8,2,-3))+IF(Consulta!$B$9="Qualquer",0,IF($D203=Consulta!$B$9,2,-1))+IF($N203="",0,$N203)-ROW()/100000)))))</f>
        <v/>
      </c>
    </row>
    <row r="204" customFormat="false" ht="15" hidden="false" customHeight="false" outlineLevel="0" collapsed="false">
      <c r="A204" s="14"/>
      <c r="B204" s="15"/>
      <c r="C204" s="14"/>
      <c r="D204" s="14"/>
      <c r="E204" s="15"/>
      <c r="F204" s="14"/>
      <c r="G204" s="14"/>
      <c r="H204" s="14"/>
      <c r="I204" s="15"/>
      <c r="J204" s="14"/>
      <c r="K204" s="15"/>
      <c r="L204" s="16"/>
      <c r="M204" s="17"/>
      <c r="N204" s="16"/>
      <c r="O204" s="16"/>
      <c r="P204" s="18"/>
      <c r="Q204" s="16"/>
      <c r="R204" s="18"/>
      <c r="S204" s="16"/>
      <c r="T204" s="16"/>
      <c r="U204" s="16"/>
      <c r="V204" s="16"/>
      <c r="W204" s="16"/>
      <c r="X204" s="16"/>
      <c r="Y204" s="16"/>
      <c r="Z204" s="16"/>
      <c r="AA204" s="18"/>
      <c r="AB204" s="18"/>
      <c r="AC204" s="18"/>
      <c r="AD204" s="18"/>
      <c r="AE204" s="18"/>
      <c r="AF204" s="19" t="str">
        <f aca="false">IF($B204="","",IF(AND(Consulta!$B$11="Sim",$L204&lt;&gt;"Sim"),-9999,IF($H204=Consulta!$B$5,-9999,IF(AND(Consulta!$B$3&lt;&gt;"Qualquer",ISNUMBER(SEARCH(Consulta!$B$3,$AA204))),-9999,IF(AND(Consulta!$B$10="Sim",$V204&lt;&gt;"Sim"),-9999,IF(OR(Consulta!$B$3="Qualquer",ISNUMBER(SEARCH(Consulta!$B$3,$P204))),3,0)+IF(OR(Consulta!$B$12="Qualquer",ISNUMBER(SEARCH(Consulta!$B$12,$Q204))),2,0)+IF(OR(Consulta!$B$4="Qualquer",ISNUMBER(SEARCH(Consulta!$B$4,$R204))),3,0)+IF(Consulta!$B$6="Qualquer",0,IF($O204=Consulta!$B$6,2,-1))+IF(Consulta!$B$7="Não",0,IF($U204="Sim",3,IF($U204="Não",-6,0)))+IF(Consulta!$B$8="Qualquer",0,IF($C204=Consulta!$B$8,2,-3))+IF(Consulta!$B$9="Qualquer",0,IF($D204=Consulta!$B$9,2,-1))+IF($N204="",0,$N204)-ROW()/100000)))))</f>
        <v/>
      </c>
    </row>
    <row r="205" customFormat="false" ht="15" hidden="false" customHeight="false" outlineLevel="0" collapsed="false">
      <c r="A205" s="14"/>
      <c r="B205" s="15"/>
      <c r="C205" s="14"/>
      <c r="D205" s="14"/>
      <c r="E205" s="15"/>
      <c r="F205" s="14"/>
      <c r="G205" s="14"/>
      <c r="H205" s="14"/>
      <c r="I205" s="15"/>
      <c r="J205" s="14"/>
      <c r="K205" s="15"/>
      <c r="L205" s="16"/>
      <c r="M205" s="17"/>
      <c r="N205" s="16"/>
      <c r="O205" s="16"/>
      <c r="P205" s="18"/>
      <c r="Q205" s="16"/>
      <c r="R205" s="18"/>
      <c r="S205" s="16"/>
      <c r="T205" s="16"/>
      <c r="U205" s="16"/>
      <c r="V205" s="16"/>
      <c r="W205" s="16"/>
      <c r="X205" s="16"/>
      <c r="Y205" s="16"/>
      <c r="Z205" s="16"/>
      <c r="AA205" s="18"/>
      <c r="AB205" s="18"/>
      <c r="AC205" s="18"/>
      <c r="AD205" s="18"/>
      <c r="AE205" s="18"/>
      <c r="AF205" s="19" t="str">
        <f aca="false">IF($B205="","",IF(AND(Consulta!$B$11="Sim",$L205&lt;&gt;"Sim"),-9999,IF($H205=Consulta!$B$5,-9999,IF(AND(Consulta!$B$3&lt;&gt;"Qualquer",ISNUMBER(SEARCH(Consulta!$B$3,$AA205))),-9999,IF(AND(Consulta!$B$10="Sim",$V205&lt;&gt;"Sim"),-9999,IF(OR(Consulta!$B$3="Qualquer",ISNUMBER(SEARCH(Consulta!$B$3,$P205))),3,0)+IF(OR(Consulta!$B$12="Qualquer",ISNUMBER(SEARCH(Consulta!$B$12,$Q205))),2,0)+IF(OR(Consulta!$B$4="Qualquer",ISNUMBER(SEARCH(Consulta!$B$4,$R205))),3,0)+IF(Consulta!$B$6="Qualquer",0,IF($O205=Consulta!$B$6,2,-1))+IF(Consulta!$B$7="Não",0,IF($U205="Sim",3,IF($U205="Não",-6,0)))+IF(Consulta!$B$8="Qualquer",0,IF($C205=Consulta!$B$8,2,-3))+IF(Consulta!$B$9="Qualquer",0,IF($D205=Consulta!$B$9,2,-1))+IF($N205="",0,$N205)-ROW()/100000)))))</f>
        <v/>
      </c>
    </row>
    <row r="206" customFormat="false" ht="15" hidden="false" customHeight="false" outlineLevel="0" collapsed="false">
      <c r="A206" s="14"/>
      <c r="B206" s="15"/>
      <c r="C206" s="14"/>
      <c r="D206" s="14"/>
      <c r="E206" s="15"/>
      <c r="F206" s="14"/>
      <c r="G206" s="14"/>
      <c r="H206" s="14"/>
      <c r="I206" s="15"/>
      <c r="J206" s="14"/>
      <c r="K206" s="15"/>
      <c r="L206" s="16"/>
      <c r="M206" s="17"/>
      <c r="N206" s="16"/>
      <c r="O206" s="16"/>
      <c r="P206" s="18"/>
      <c r="Q206" s="16"/>
      <c r="R206" s="18"/>
      <c r="S206" s="16"/>
      <c r="T206" s="16"/>
      <c r="U206" s="16"/>
      <c r="V206" s="16"/>
      <c r="W206" s="16"/>
      <c r="X206" s="16"/>
      <c r="Y206" s="16"/>
      <c r="Z206" s="16"/>
      <c r="AA206" s="18"/>
      <c r="AB206" s="18"/>
      <c r="AC206" s="18"/>
      <c r="AD206" s="18"/>
      <c r="AE206" s="18"/>
      <c r="AF206" s="19" t="str">
        <f aca="false">IF($B206="","",IF(AND(Consulta!$B$11="Sim",$L206&lt;&gt;"Sim"),-9999,IF($H206=Consulta!$B$5,-9999,IF(AND(Consulta!$B$3&lt;&gt;"Qualquer",ISNUMBER(SEARCH(Consulta!$B$3,$AA206))),-9999,IF(AND(Consulta!$B$10="Sim",$V206&lt;&gt;"Sim"),-9999,IF(OR(Consulta!$B$3="Qualquer",ISNUMBER(SEARCH(Consulta!$B$3,$P206))),3,0)+IF(OR(Consulta!$B$12="Qualquer",ISNUMBER(SEARCH(Consulta!$B$12,$Q206))),2,0)+IF(OR(Consulta!$B$4="Qualquer",ISNUMBER(SEARCH(Consulta!$B$4,$R206))),3,0)+IF(Consulta!$B$6="Qualquer",0,IF($O206=Consulta!$B$6,2,-1))+IF(Consulta!$B$7="Não",0,IF($U206="Sim",3,IF($U206="Não",-6,0)))+IF(Consulta!$B$8="Qualquer",0,IF($C206=Consulta!$B$8,2,-3))+IF(Consulta!$B$9="Qualquer",0,IF($D206=Consulta!$B$9,2,-1))+IF($N206="",0,$N206)-ROW()/100000)))))</f>
        <v/>
      </c>
    </row>
    <row r="207" customFormat="false" ht="15" hidden="false" customHeight="false" outlineLevel="0" collapsed="false">
      <c r="A207" s="14"/>
      <c r="B207" s="15"/>
      <c r="C207" s="14"/>
      <c r="D207" s="14"/>
      <c r="E207" s="15"/>
      <c r="F207" s="14"/>
      <c r="G207" s="14"/>
      <c r="H207" s="14"/>
      <c r="I207" s="15"/>
      <c r="J207" s="14"/>
      <c r="K207" s="15"/>
      <c r="L207" s="16"/>
      <c r="M207" s="17"/>
      <c r="N207" s="16"/>
      <c r="O207" s="16"/>
      <c r="P207" s="18"/>
      <c r="Q207" s="16"/>
      <c r="R207" s="18"/>
      <c r="S207" s="16"/>
      <c r="T207" s="16"/>
      <c r="U207" s="16"/>
      <c r="V207" s="16"/>
      <c r="W207" s="16"/>
      <c r="X207" s="16"/>
      <c r="Y207" s="16"/>
      <c r="Z207" s="16"/>
      <c r="AA207" s="18"/>
      <c r="AB207" s="18"/>
      <c r="AC207" s="18"/>
      <c r="AD207" s="18"/>
      <c r="AE207" s="18"/>
      <c r="AF207" s="19" t="str">
        <f aca="false">IF($B207="","",IF(AND(Consulta!$B$11="Sim",$L207&lt;&gt;"Sim"),-9999,IF($H207=Consulta!$B$5,-9999,IF(AND(Consulta!$B$3&lt;&gt;"Qualquer",ISNUMBER(SEARCH(Consulta!$B$3,$AA207))),-9999,IF(AND(Consulta!$B$10="Sim",$V207&lt;&gt;"Sim"),-9999,IF(OR(Consulta!$B$3="Qualquer",ISNUMBER(SEARCH(Consulta!$B$3,$P207))),3,0)+IF(OR(Consulta!$B$12="Qualquer",ISNUMBER(SEARCH(Consulta!$B$12,$Q207))),2,0)+IF(OR(Consulta!$B$4="Qualquer",ISNUMBER(SEARCH(Consulta!$B$4,$R207))),3,0)+IF(Consulta!$B$6="Qualquer",0,IF($O207=Consulta!$B$6,2,-1))+IF(Consulta!$B$7="Não",0,IF($U207="Sim",3,IF($U207="Não",-6,0)))+IF(Consulta!$B$8="Qualquer",0,IF($C207=Consulta!$B$8,2,-3))+IF(Consulta!$B$9="Qualquer",0,IF($D207=Consulta!$B$9,2,-1))+IF($N207="",0,$N207)-ROW()/100000)))))</f>
        <v/>
      </c>
    </row>
    <row r="208" customFormat="false" ht="15" hidden="false" customHeight="false" outlineLevel="0" collapsed="false">
      <c r="A208" s="14"/>
      <c r="B208" s="15"/>
      <c r="C208" s="14"/>
      <c r="D208" s="14"/>
      <c r="E208" s="15"/>
      <c r="F208" s="14"/>
      <c r="G208" s="14"/>
      <c r="H208" s="14"/>
      <c r="I208" s="15"/>
      <c r="J208" s="14"/>
      <c r="K208" s="15"/>
      <c r="L208" s="16"/>
      <c r="M208" s="17"/>
      <c r="N208" s="16"/>
      <c r="O208" s="16"/>
      <c r="P208" s="18"/>
      <c r="Q208" s="16"/>
      <c r="R208" s="18"/>
      <c r="S208" s="16"/>
      <c r="T208" s="16"/>
      <c r="U208" s="16"/>
      <c r="V208" s="16"/>
      <c r="W208" s="16"/>
      <c r="X208" s="16"/>
      <c r="Y208" s="16"/>
      <c r="Z208" s="16"/>
      <c r="AA208" s="18"/>
      <c r="AB208" s="18"/>
      <c r="AC208" s="18"/>
      <c r="AD208" s="18"/>
      <c r="AE208" s="18"/>
      <c r="AF208" s="19" t="str">
        <f aca="false">IF($B208="","",IF(AND(Consulta!$B$11="Sim",$L208&lt;&gt;"Sim"),-9999,IF($H208=Consulta!$B$5,-9999,IF(AND(Consulta!$B$3&lt;&gt;"Qualquer",ISNUMBER(SEARCH(Consulta!$B$3,$AA208))),-9999,IF(AND(Consulta!$B$10="Sim",$V208&lt;&gt;"Sim"),-9999,IF(OR(Consulta!$B$3="Qualquer",ISNUMBER(SEARCH(Consulta!$B$3,$P208))),3,0)+IF(OR(Consulta!$B$12="Qualquer",ISNUMBER(SEARCH(Consulta!$B$12,$Q208))),2,0)+IF(OR(Consulta!$B$4="Qualquer",ISNUMBER(SEARCH(Consulta!$B$4,$R208))),3,0)+IF(Consulta!$B$6="Qualquer",0,IF($O208=Consulta!$B$6,2,-1))+IF(Consulta!$B$7="Não",0,IF($U208="Sim",3,IF($U208="Não",-6,0)))+IF(Consulta!$B$8="Qualquer",0,IF($C208=Consulta!$B$8,2,-3))+IF(Consulta!$B$9="Qualquer",0,IF($D208=Consulta!$B$9,2,-1))+IF($N208="",0,$N208)-ROW()/100000)))))</f>
        <v/>
      </c>
    </row>
    <row r="209" customFormat="false" ht="15" hidden="false" customHeight="false" outlineLevel="0" collapsed="false">
      <c r="A209" s="14"/>
      <c r="B209" s="15"/>
      <c r="C209" s="14"/>
      <c r="D209" s="14"/>
      <c r="E209" s="15"/>
      <c r="F209" s="14"/>
      <c r="G209" s="14"/>
      <c r="H209" s="14"/>
      <c r="I209" s="15"/>
      <c r="J209" s="14"/>
      <c r="K209" s="15"/>
      <c r="L209" s="16"/>
      <c r="M209" s="17"/>
      <c r="N209" s="16"/>
      <c r="O209" s="16"/>
      <c r="P209" s="18"/>
      <c r="Q209" s="16"/>
      <c r="R209" s="18"/>
      <c r="S209" s="16"/>
      <c r="T209" s="16"/>
      <c r="U209" s="16"/>
      <c r="V209" s="16"/>
      <c r="W209" s="16"/>
      <c r="X209" s="16"/>
      <c r="Y209" s="16"/>
      <c r="Z209" s="16"/>
      <c r="AA209" s="18"/>
      <c r="AB209" s="18"/>
      <c r="AC209" s="18"/>
      <c r="AD209" s="18"/>
      <c r="AE209" s="18"/>
      <c r="AF209" s="19" t="str">
        <f aca="false">IF($B209="","",IF(AND(Consulta!$B$11="Sim",$L209&lt;&gt;"Sim"),-9999,IF($H209=Consulta!$B$5,-9999,IF(AND(Consulta!$B$3&lt;&gt;"Qualquer",ISNUMBER(SEARCH(Consulta!$B$3,$AA209))),-9999,IF(AND(Consulta!$B$10="Sim",$V209&lt;&gt;"Sim"),-9999,IF(OR(Consulta!$B$3="Qualquer",ISNUMBER(SEARCH(Consulta!$B$3,$P209))),3,0)+IF(OR(Consulta!$B$12="Qualquer",ISNUMBER(SEARCH(Consulta!$B$12,$Q209))),2,0)+IF(OR(Consulta!$B$4="Qualquer",ISNUMBER(SEARCH(Consulta!$B$4,$R209))),3,0)+IF(Consulta!$B$6="Qualquer",0,IF($O209=Consulta!$B$6,2,-1))+IF(Consulta!$B$7="Não",0,IF($U209="Sim",3,IF($U209="Não",-6,0)))+IF(Consulta!$B$8="Qualquer",0,IF($C209=Consulta!$B$8,2,-3))+IF(Consulta!$B$9="Qualquer",0,IF($D209=Consulta!$B$9,2,-1))+IF($N209="",0,$N209)-ROW()/100000)))))</f>
        <v/>
      </c>
    </row>
    <row r="210" customFormat="false" ht="15" hidden="false" customHeight="false" outlineLevel="0" collapsed="false">
      <c r="A210" s="14"/>
      <c r="B210" s="15"/>
      <c r="C210" s="14"/>
      <c r="D210" s="14"/>
      <c r="E210" s="15"/>
      <c r="F210" s="14"/>
      <c r="G210" s="14"/>
      <c r="H210" s="14"/>
      <c r="I210" s="15"/>
      <c r="J210" s="14"/>
      <c r="K210" s="15"/>
      <c r="L210" s="16"/>
      <c r="M210" s="17"/>
      <c r="N210" s="16"/>
      <c r="O210" s="16"/>
      <c r="P210" s="18"/>
      <c r="Q210" s="16"/>
      <c r="R210" s="18"/>
      <c r="S210" s="16"/>
      <c r="T210" s="16"/>
      <c r="U210" s="16"/>
      <c r="V210" s="16"/>
      <c r="W210" s="16"/>
      <c r="X210" s="16"/>
      <c r="Y210" s="16"/>
      <c r="Z210" s="16"/>
      <c r="AA210" s="18"/>
      <c r="AB210" s="18"/>
      <c r="AC210" s="18"/>
      <c r="AD210" s="18"/>
      <c r="AE210" s="18"/>
      <c r="AF210" s="19" t="str">
        <f aca="false">IF($B210="","",IF(AND(Consulta!$B$11="Sim",$L210&lt;&gt;"Sim"),-9999,IF($H210=Consulta!$B$5,-9999,IF(AND(Consulta!$B$3&lt;&gt;"Qualquer",ISNUMBER(SEARCH(Consulta!$B$3,$AA210))),-9999,IF(AND(Consulta!$B$10="Sim",$V210&lt;&gt;"Sim"),-9999,IF(OR(Consulta!$B$3="Qualquer",ISNUMBER(SEARCH(Consulta!$B$3,$P210))),3,0)+IF(OR(Consulta!$B$12="Qualquer",ISNUMBER(SEARCH(Consulta!$B$12,$Q210))),2,0)+IF(OR(Consulta!$B$4="Qualquer",ISNUMBER(SEARCH(Consulta!$B$4,$R210))),3,0)+IF(Consulta!$B$6="Qualquer",0,IF($O210=Consulta!$B$6,2,-1))+IF(Consulta!$B$7="Não",0,IF($U210="Sim",3,IF($U210="Não",-6,0)))+IF(Consulta!$B$8="Qualquer",0,IF($C210=Consulta!$B$8,2,-3))+IF(Consulta!$B$9="Qualquer",0,IF($D210=Consulta!$B$9,2,-1))+IF($N210="",0,$N210)-ROW()/100000)))))</f>
        <v/>
      </c>
    </row>
    <row r="211" customFormat="false" ht="15" hidden="false" customHeight="false" outlineLevel="0" collapsed="false">
      <c r="A211" s="14"/>
      <c r="B211" s="15"/>
      <c r="C211" s="14"/>
      <c r="D211" s="14"/>
      <c r="E211" s="15"/>
      <c r="F211" s="14"/>
      <c r="G211" s="14"/>
      <c r="H211" s="14"/>
      <c r="I211" s="15"/>
      <c r="J211" s="14"/>
      <c r="K211" s="15"/>
      <c r="L211" s="16"/>
      <c r="M211" s="17"/>
      <c r="N211" s="16"/>
      <c r="O211" s="16"/>
      <c r="P211" s="18"/>
      <c r="Q211" s="16"/>
      <c r="R211" s="18"/>
      <c r="S211" s="16"/>
      <c r="T211" s="16"/>
      <c r="U211" s="16"/>
      <c r="V211" s="16"/>
      <c r="W211" s="16"/>
      <c r="X211" s="16"/>
      <c r="Y211" s="16"/>
      <c r="Z211" s="16"/>
      <c r="AA211" s="18"/>
      <c r="AB211" s="18"/>
      <c r="AC211" s="18"/>
      <c r="AD211" s="18"/>
      <c r="AE211" s="18"/>
      <c r="AF211" s="19" t="str">
        <f aca="false">IF($B211="","",IF(AND(Consulta!$B$11="Sim",$L211&lt;&gt;"Sim"),-9999,IF($H211=Consulta!$B$5,-9999,IF(AND(Consulta!$B$3&lt;&gt;"Qualquer",ISNUMBER(SEARCH(Consulta!$B$3,$AA211))),-9999,IF(AND(Consulta!$B$10="Sim",$V211&lt;&gt;"Sim"),-9999,IF(OR(Consulta!$B$3="Qualquer",ISNUMBER(SEARCH(Consulta!$B$3,$P211))),3,0)+IF(OR(Consulta!$B$12="Qualquer",ISNUMBER(SEARCH(Consulta!$B$12,$Q211))),2,0)+IF(OR(Consulta!$B$4="Qualquer",ISNUMBER(SEARCH(Consulta!$B$4,$R211))),3,0)+IF(Consulta!$B$6="Qualquer",0,IF($O211=Consulta!$B$6,2,-1))+IF(Consulta!$B$7="Não",0,IF($U211="Sim",3,IF($U211="Não",-6,0)))+IF(Consulta!$B$8="Qualquer",0,IF($C211=Consulta!$B$8,2,-3))+IF(Consulta!$B$9="Qualquer",0,IF($D211=Consulta!$B$9,2,-1))+IF($N211="",0,$N211)-ROW()/100000)))))</f>
        <v/>
      </c>
    </row>
    <row r="212" customFormat="false" ht="15" hidden="false" customHeight="false" outlineLevel="0" collapsed="false">
      <c r="A212" s="14"/>
      <c r="B212" s="15"/>
      <c r="C212" s="14"/>
      <c r="D212" s="14"/>
      <c r="E212" s="15"/>
      <c r="F212" s="14"/>
      <c r="G212" s="14"/>
      <c r="H212" s="14"/>
      <c r="I212" s="15"/>
      <c r="J212" s="14"/>
      <c r="K212" s="15"/>
      <c r="L212" s="16"/>
      <c r="M212" s="17"/>
      <c r="N212" s="16"/>
      <c r="O212" s="16"/>
      <c r="P212" s="18"/>
      <c r="Q212" s="16"/>
      <c r="R212" s="18"/>
      <c r="S212" s="16"/>
      <c r="T212" s="16"/>
      <c r="U212" s="16"/>
      <c r="V212" s="16"/>
      <c r="W212" s="16"/>
      <c r="X212" s="16"/>
      <c r="Y212" s="16"/>
      <c r="Z212" s="16"/>
      <c r="AA212" s="18"/>
      <c r="AB212" s="18"/>
      <c r="AC212" s="18"/>
      <c r="AD212" s="18"/>
      <c r="AE212" s="18"/>
      <c r="AF212" s="19" t="str">
        <f aca="false">IF($B212="","",IF(AND(Consulta!$B$11="Sim",$L212&lt;&gt;"Sim"),-9999,IF($H212=Consulta!$B$5,-9999,IF(AND(Consulta!$B$3&lt;&gt;"Qualquer",ISNUMBER(SEARCH(Consulta!$B$3,$AA212))),-9999,IF(AND(Consulta!$B$10="Sim",$V212&lt;&gt;"Sim"),-9999,IF(OR(Consulta!$B$3="Qualquer",ISNUMBER(SEARCH(Consulta!$B$3,$P212))),3,0)+IF(OR(Consulta!$B$12="Qualquer",ISNUMBER(SEARCH(Consulta!$B$12,$Q212))),2,0)+IF(OR(Consulta!$B$4="Qualquer",ISNUMBER(SEARCH(Consulta!$B$4,$R212))),3,0)+IF(Consulta!$B$6="Qualquer",0,IF($O212=Consulta!$B$6,2,-1))+IF(Consulta!$B$7="Não",0,IF($U212="Sim",3,IF($U212="Não",-6,0)))+IF(Consulta!$B$8="Qualquer",0,IF($C212=Consulta!$B$8,2,-3))+IF(Consulta!$B$9="Qualquer",0,IF($D212=Consulta!$B$9,2,-1))+IF($N212="",0,$N212)-ROW()/100000)))))</f>
        <v/>
      </c>
    </row>
    <row r="213" customFormat="false" ht="15" hidden="false" customHeight="false" outlineLevel="0" collapsed="false">
      <c r="A213" s="14"/>
      <c r="B213" s="15"/>
      <c r="C213" s="14"/>
      <c r="D213" s="14"/>
      <c r="E213" s="15"/>
      <c r="F213" s="14"/>
      <c r="G213" s="14"/>
      <c r="H213" s="14"/>
      <c r="I213" s="15"/>
      <c r="J213" s="14"/>
      <c r="K213" s="15"/>
      <c r="L213" s="16"/>
      <c r="M213" s="17"/>
      <c r="N213" s="16"/>
      <c r="O213" s="16"/>
      <c r="P213" s="18"/>
      <c r="Q213" s="16"/>
      <c r="R213" s="18"/>
      <c r="S213" s="16"/>
      <c r="T213" s="16"/>
      <c r="U213" s="16"/>
      <c r="V213" s="16"/>
      <c r="W213" s="16"/>
      <c r="X213" s="16"/>
      <c r="Y213" s="16"/>
      <c r="Z213" s="16"/>
      <c r="AA213" s="18"/>
      <c r="AB213" s="18"/>
      <c r="AC213" s="18"/>
      <c r="AD213" s="18"/>
      <c r="AE213" s="18"/>
      <c r="AF213" s="19" t="str">
        <f aca="false">IF($B213="","",IF(AND(Consulta!$B$11="Sim",$L213&lt;&gt;"Sim"),-9999,IF($H213=Consulta!$B$5,-9999,IF(AND(Consulta!$B$3&lt;&gt;"Qualquer",ISNUMBER(SEARCH(Consulta!$B$3,$AA213))),-9999,IF(AND(Consulta!$B$10="Sim",$V213&lt;&gt;"Sim"),-9999,IF(OR(Consulta!$B$3="Qualquer",ISNUMBER(SEARCH(Consulta!$B$3,$P213))),3,0)+IF(OR(Consulta!$B$12="Qualquer",ISNUMBER(SEARCH(Consulta!$B$12,$Q213))),2,0)+IF(OR(Consulta!$B$4="Qualquer",ISNUMBER(SEARCH(Consulta!$B$4,$R213))),3,0)+IF(Consulta!$B$6="Qualquer",0,IF($O213=Consulta!$B$6,2,-1))+IF(Consulta!$B$7="Não",0,IF($U213="Sim",3,IF($U213="Não",-6,0)))+IF(Consulta!$B$8="Qualquer",0,IF($C213=Consulta!$B$8,2,-3))+IF(Consulta!$B$9="Qualquer",0,IF($D213=Consulta!$B$9,2,-1))+IF($N213="",0,$N213)-ROW()/100000)))))</f>
        <v/>
      </c>
    </row>
    <row r="214" customFormat="false" ht="15" hidden="false" customHeight="false" outlineLevel="0" collapsed="false">
      <c r="A214" s="14"/>
      <c r="B214" s="15"/>
      <c r="C214" s="14"/>
      <c r="D214" s="14"/>
      <c r="E214" s="15"/>
      <c r="F214" s="14"/>
      <c r="G214" s="14"/>
      <c r="H214" s="14"/>
      <c r="I214" s="15"/>
      <c r="J214" s="14"/>
      <c r="K214" s="15"/>
      <c r="L214" s="16"/>
      <c r="M214" s="17"/>
      <c r="N214" s="16"/>
      <c r="O214" s="16"/>
      <c r="P214" s="18"/>
      <c r="Q214" s="16"/>
      <c r="R214" s="18"/>
      <c r="S214" s="16"/>
      <c r="T214" s="16"/>
      <c r="U214" s="16"/>
      <c r="V214" s="16"/>
      <c r="W214" s="16"/>
      <c r="X214" s="16"/>
      <c r="Y214" s="16"/>
      <c r="Z214" s="16"/>
      <c r="AA214" s="18"/>
      <c r="AB214" s="18"/>
      <c r="AC214" s="18"/>
      <c r="AD214" s="18"/>
      <c r="AE214" s="18"/>
      <c r="AF214" s="19" t="str">
        <f aca="false">IF($B214="","",IF(AND(Consulta!$B$11="Sim",$L214&lt;&gt;"Sim"),-9999,IF($H214=Consulta!$B$5,-9999,IF(AND(Consulta!$B$3&lt;&gt;"Qualquer",ISNUMBER(SEARCH(Consulta!$B$3,$AA214))),-9999,IF(AND(Consulta!$B$10="Sim",$V214&lt;&gt;"Sim"),-9999,IF(OR(Consulta!$B$3="Qualquer",ISNUMBER(SEARCH(Consulta!$B$3,$P214))),3,0)+IF(OR(Consulta!$B$12="Qualquer",ISNUMBER(SEARCH(Consulta!$B$12,$Q214))),2,0)+IF(OR(Consulta!$B$4="Qualquer",ISNUMBER(SEARCH(Consulta!$B$4,$R214))),3,0)+IF(Consulta!$B$6="Qualquer",0,IF($O214=Consulta!$B$6,2,-1))+IF(Consulta!$B$7="Não",0,IF($U214="Sim",3,IF($U214="Não",-6,0)))+IF(Consulta!$B$8="Qualquer",0,IF($C214=Consulta!$B$8,2,-3))+IF(Consulta!$B$9="Qualquer",0,IF($D214=Consulta!$B$9,2,-1))+IF($N214="",0,$N214)-ROW()/100000)))))</f>
        <v/>
      </c>
    </row>
    <row r="215" customFormat="false" ht="15" hidden="false" customHeight="false" outlineLevel="0" collapsed="false">
      <c r="A215" s="14"/>
      <c r="B215" s="15"/>
      <c r="C215" s="14"/>
      <c r="D215" s="14"/>
      <c r="E215" s="15"/>
      <c r="F215" s="14"/>
      <c r="G215" s="14"/>
      <c r="H215" s="14"/>
      <c r="I215" s="15"/>
      <c r="J215" s="14"/>
      <c r="K215" s="15"/>
      <c r="L215" s="16"/>
      <c r="M215" s="17"/>
      <c r="N215" s="16"/>
      <c r="O215" s="16"/>
      <c r="P215" s="18"/>
      <c r="Q215" s="16"/>
      <c r="R215" s="18"/>
      <c r="S215" s="16"/>
      <c r="T215" s="16"/>
      <c r="U215" s="16"/>
      <c r="V215" s="16"/>
      <c r="W215" s="16"/>
      <c r="X215" s="16"/>
      <c r="Y215" s="16"/>
      <c r="Z215" s="16"/>
      <c r="AA215" s="18"/>
      <c r="AB215" s="18"/>
      <c r="AC215" s="18"/>
      <c r="AD215" s="18"/>
      <c r="AE215" s="18"/>
      <c r="AF215" s="19" t="str">
        <f aca="false">IF($B215="","",IF(AND(Consulta!$B$11="Sim",$L215&lt;&gt;"Sim"),-9999,IF($H215=Consulta!$B$5,-9999,IF(AND(Consulta!$B$3&lt;&gt;"Qualquer",ISNUMBER(SEARCH(Consulta!$B$3,$AA215))),-9999,IF(AND(Consulta!$B$10="Sim",$V215&lt;&gt;"Sim"),-9999,IF(OR(Consulta!$B$3="Qualquer",ISNUMBER(SEARCH(Consulta!$B$3,$P215))),3,0)+IF(OR(Consulta!$B$12="Qualquer",ISNUMBER(SEARCH(Consulta!$B$12,$Q215))),2,0)+IF(OR(Consulta!$B$4="Qualquer",ISNUMBER(SEARCH(Consulta!$B$4,$R215))),3,0)+IF(Consulta!$B$6="Qualquer",0,IF($O215=Consulta!$B$6,2,-1))+IF(Consulta!$B$7="Não",0,IF($U215="Sim",3,IF($U215="Não",-6,0)))+IF(Consulta!$B$8="Qualquer",0,IF($C215=Consulta!$B$8,2,-3))+IF(Consulta!$B$9="Qualquer",0,IF($D215=Consulta!$B$9,2,-1))+IF($N215="",0,$N215)-ROW()/100000)))))</f>
        <v/>
      </c>
    </row>
    <row r="216" customFormat="false" ht="15" hidden="false" customHeight="false" outlineLevel="0" collapsed="false">
      <c r="A216" s="14"/>
      <c r="B216" s="15"/>
      <c r="C216" s="14"/>
      <c r="D216" s="14"/>
      <c r="E216" s="15"/>
      <c r="F216" s="14"/>
      <c r="G216" s="14"/>
      <c r="H216" s="14"/>
      <c r="I216" s="15"/>
      <c r="J216" s="14"/>
      <c r="K216" s="15"/>
      <c r="L216" s="16"/>
      <c r="M216" s="17"/>
      <c r="N216" s="16"/>
      <c r="O216" s="16"/>
      <c r="P216" s="18"/>
      <c r="Q216" s="16"/>
      <c r="R216" s="18"/>
      <c r="S216" s="16"/>
      <c r="T216" s="16"/>
      <c r="U216" s="16"/>
      <c r="V216" s="16"/>
      <c r="W216" s="16"/>
      <c r="X216" s="16"/>
      <c r="Y216" s="16"/>
      <c r="Z216" s="16"/>
      <c r="AA216" s="18"/>
      <c r="AB216" s="18"/>
      <c r="AC216" s="18"/>
      <c r="AD216" s="18"/>
      <c r="AE216" s="18"/>
      <c r="AF216" s="19" t="str">
        <f aca="false">IF($B216="","",IF(AND(Consulta!$B$11="Sim",$L216&lt;&gt;"Sim"),-9999,IF($H216=Consulta!$B$5,-9999,IF(AND(Consulta!$B$3&lt;&gt;"Qualquer",ISNUMBER(SEARCH(Consulta!$B$3,$AA216))),-9999,IF(AND(Consulta!$B$10="Sim",$V216&lt;&gt;"Sim"),-9999,IF(OR(Consulta!$B$3="Qualquer",ISNUMBER(SEARCH(Consulta!$B$3,$P216))),3,0)+IF(OR(Consulta!$B$12="Qualquer",ISNUMBER(SEARCH(Consulta!$B$12,$Q216))),2,0)+IF(OR(Consulta!$B$4="Qualquer",ISNUMBER(SEARCH(Consulta!$B$4,$R216))),3,0)+IF(Consulta!$B$6="Qualquer",0,IF($O216=Consulta!$B$6,2,-1))+IF(Consulta!$B$7="Não",0,IF($U216="Sim",3,IF($U216="Não",-6,0)))+IF(Consulta!$B$8="Qualquer",0,IF($C216=Consulta!$B$8,2,-3))+IF(Consulta!$B$9="Qualquer",0,IF($D216=Consulta!$B$9,2,-1))+IF($N216="",0,$N216)-ROW()/100000)))))</f>
        <v/>
      </c>
    </row>
    <row r="217" customFormat="false" ht="15" hidden="false" customHeight="false" outlineLevel="0" collapsed="false">
      <c r="A217" s="14"/>
      <c r="B217" s="15"/>
      <c r="C217" s="14"/>
      <c r="D217" s="14"/>
      <c r="E217" s="15"/>
      <c r="F217" s="14"/>
      <c r="G217" s="14"/>
      <c r="H217" s="14"/>
      <c r="I217" s="15"/>
      <c r="J217" s="14"/>
      <c r="K217" s="15"/>
      <c r="L217" s="16"/>
      <c r="M217" s="17"/>
      <c r="N217" s="16"/>
      <c r="O217" s="16"/>
      <c r="P217" s="18"/>
      <c r="Q217" s="16"/>
      <c r="R217" s="18"/>
      <c r="S217" s="16"/>
      <c r="T217" s="16"/>
      <c r="U217" s="16"/>
      <c r="V217" s="16"/>
      <c r="W217" s="16"/>
      <c r="X217" s="16"/>
      <c r="Y217" s="16"/>
      <c r="Z217" s="16"/>
      <c r="AA217" s="18"/>
      <c r="AB217" s="18"/>
      <c r="AC217" s="18"/>
      <c r="AD217" s="18"/>
      <c r="AE217" s="18"/>
      <c r="AF217" s="19" t="str">
        <f aca="false">IF($B217="","",IF(AND(Consulta!$B$11="Sim",$L217&lt;&gt;"Sim"),-9999,IF($H217=Consulta!$B$5,-9999,IF(AND(Consulta!$B$3&lt;&gt;"Qualquer",ISNUMBER(SEARCH(Consulta!$B$3,$AA217))),-9999,IF(AND(Consulta!$B$10="Sim",$V217&lt;&gt;"Sim"),-9999,IF(OR(Consulta!$B$3="Qualquer",ISNUMBER(SEARCH(Consulta!$B$3,$P217))),3,0)+IF(OR(Consulta!$B$12="Qualquer",ISNUMBER(SEARCH(Consulta!$B$12,$Q217))),2,0)+IF(OR(Consulta!$B$4="Qualquer",ISNUMBER(SEARCH(Consulta!$B$4,$R217))),3,0)+IF(Consulta!$B$6="Qualquer",0,IF($O217=Consulta!$B$6,2,-1))+IF(Consulta!$B$7="Não",0,IF($U217="Sim",3,IF($U217="Não",-6,0)))+IF(Consulta!$B$8="Qualquer",0,IF($C217=Consulta!$B$8,2,-3))+IF(Consulta!$B$9="Qualquer",0,IF($D217=Consulta!$B$9,2,-1))+IF($N217="",0,$N217)-ROW()/100000)))))</f>
        <v/>
      </c>
    </row>
    <row r="218" customFormat="false" ht="15" hidden="false" customHeight="false" outlineLevel="0" collapsed="false">
      <c r="A218" s="14"/>
      <c r="B218" s="15"/>
      <c r="C218" s="14"/>
      <c r="D218" s="14"/>
      <c r="E218" s="15"/>
      <c r="F218" s="14"/>
      <c r="G218" s="14"/>
      <c r="H218" s="14"/>
      <c r="I218" s="15"/>
      <c r="J218" s="14"/>
      <c r="K218" s="15"/>
      <c r="L218" s="16"/>
      <c r="M218" s="17"/>
      <c r="N218" s="16"/>
      <c r="O218" s="16"/>
      <c r="P218" s="18"/>
      <c r="Q218" s="16"/>
      <c r="R218" s="18"/>
      <c r="S218" s="16"/>
      <c r="T218" s="16"/>
      <c r="U218" s="16"/>
      <c r="V218" s="16"/>
      <c r="W218" s="16"/>
      <c r="X218" s="16"/>
      <c r="Y218" s="16"/>
      <c r="Z218" s="16"/>
      <c r="AA218" s="18"/>
      <c r="AB218" s="18"/>
      <c r="AC218" s="18"/>
      <c r="AD218" s="18"/>
      <c r="AE218" s="18"/>
      <c r="AF218" s="19" t="str">
        <f aca="false">IF($B218="","",IF(AND(Consulta!$B$11="Sim",$L218&lt;&gt;"Sim"),-9999,IF($H218=Consulta!$B$5,-9999,IF(AND(Consulta!$B$3&lt;&gt;"Qualquer",ISNUMBER(SEARCH(Consulta!$B$3,$AA218))),-9999,IF(AND(Consulta!$B$10="Sim",$V218&lt;&gt;"Sim"),-9999,IF(OR(Consulta!$B$3="Qualquer",ISNUMBER(SEARCH(Consulta!$B$3,$P218))),3,0)+IF(OR(Consulta!$B$12="Qualquer",ISNUMBER(SEARCH(Consulta!$B$12,$Q218))),2,0)+IF(OR(Consulta!$B$4="Qualquer",ISNUMBER(SEARCH(Consulta!$B$4,$R218))),3,0)+IF(Consulta!$B$6="Qualquer",0,IF($O218=Consulta!$B$6,2,-1))+IF(Consulta!$B$7="Não",0,IF($U218="Sim",3,IF($U218="Não",-6,0)))+IF(Consulta!$B$8="Qualquer",0,IF($C218=Consulta!$B$8,2,-3))+IF(Consulta!$B$9="Qualquer",0,IF($D218=Consulta!$B$9,2,-1))+IF($N218="",0,$N218)-ROW()/100000)))))</f>
        <v/>
      </c>
    </row>
    <row r="219" customFormat="false" ht="15" hidden="false" customHeight="false" outlineLevel="0" collapsed="false">
      <c r="A219" s="14"/>
      <c r="B219" s="15"/>
      <c r="C219" s="14"/>
      <c r="D219" s="14"/>
      <c r="E219" s="15"/>
      <c r="F219" s="14"/>
      <c r="G219" s="14"/>
      <c r="H219" s="14"/>
      <c r="I219" s="15"/>
      <c r="J219" s="14"/>
      <c r="K219" s="15"/>
      <c r="L219" s="16"/>
      <c r="M219" s="17"/>
      <c r="N219" s="16"/>
      <c r="O219" s="16"/>
      <c r="P219" s="18"/>
      <c r="Q219" s="16"/>
      <c r="R219" s="18"/>
      <c r="S219" s="16"/>
      <c r="T219" s="16"/>
      <c r="U219" s="16"/>
      <c r="V219" s="16"/>
      <c r="W219" s="16"/>
      <c r="X219" s="16"/>
      <c r="Y219" s="16"/>
      <c r="Z219" s="16"/>
      <c r="AA219" s="18"/>
      <c r="AB219" s="18"/>
      <c r="AC219" s="18"/>
      <c r="AD219" s="18"/>
      <c r="AE219" s="18"/>
      <c r="AF219" s="19" t="str">
        <f aca="false">IF($B219="","",IF(AND(Consulta!$B$11="Sim",$L219&lt;&gt;"Sim"),-9999,IF($H219=Consulta!$B$5,-9999,IF(AND(Consulta!$B$3&lt;&gt;"Qualquer",ISNUMBER(SEARCH(Consulta!$B$3,$AA219))),-9999,IF(AND(Consulta!$B$10="Sim",$V219&lt;&gt;"Sim"),-9999,IF(OR(Consulta!$B$3="Qualquer",ISNUMBER(SEARCH(Consulta!$B$3,$P219))),3,0)+IF(OR(Consulta!$B$12="Qualquer",ISNUMBER(SEARCH(Consulta!$B$12,$Q219))),2,0)+IF(OR(Consulta!$B$4="Qualquer",ISNUMBER(SEARCH(Consulta!$B$4,$R219))),3,0)+IF(Consulta!$B$6="Qualquer",0,IF($O219=Consulta!$B$6,2,-1))+IF(Consulta!$B$7="Não",0,IF($U219="Sim",3,IF($U219="Não",-6,0)))+IF(Consulta!$B$8="Qualquer",0,IF($C219=Consulta!$B$8,2,-3))+IF(Consulta!$B$9="Qualquer",0,IF($D219=Consulta!$B$9,2,-1))+IF($N219="",0,$N219)-ROW()/100000)))))</f>
        <v/>
      </c>
    </row>
    <row r="220" customFormat="false" ht="15" hidden="false" customHeight="false" outlineLevel="0" collapsed="false">
      <c r="A220" s="14"/>
      <c r="B220" s="15"/>
      <c r="C220" s="14"/>
      <c r="D220" s="14"/>
      <c r="E220" s="15"/>
      <c r="F220" s="14"/>
      <c r="G220" s="14"/>
      <c r="H220" s="14"/>
      <c r="I220" s="15"/>
      <c r="J220" s="14"/>
      <c r="K220" s="15"/>
      <c r="L220" s="16"/>
      <c r="M220" s="17"/>
      <c r="N220" s="16"/>
      <c r="O220" s="16"/>
      <c r="P220" s="18"/>
      <c r="Q220" s="16"/>
      <c r="R220" s="18"/>
      <c r="S220" s="16"/>
      <c r="T220" s="16"/>
      <c r="U220" s="16"/>
      <c r="V220" s="16"/>
      <c r="W220" s="16"/>
      <c r="X220" s="16"/>
      <c r="Y220" s="16"/>
      <c r="Z220" s="16"/>
      <c r="AA220" s="18"/>
      <c r="AB220" s="18"/>
      <c r="AC220" s="18"/>
      <c r="AD220" s="18"/>
      <c r="AE220" s="18"/>
      <c r="AF220" s="19" t="str">
        <f aca="false">IF($B220="","",IF(AND(Consulta!$B$11="Sim",$L220&lt;&gt;"Sim"),-9999,IF($H220=Consulta!$B$5,-9999,IF(AND(Consulta!$B$3&lt;&gt;"Qualquer",ISNUMBER(SEARCH(Consulta!$B$3,$AA220))),-9999,IF(AND(Consulta!$B$10="Sim",$V220&lt;&gt;"Sim"),-9999,IF(OR(Consulta!$B$3="Qualquer",ISNUMBER(SEARCH(Consulta!$B$3,$P220))),3,0)+IF(OR(Consulta!$B$12="Qualquer",ISNUMBER(SEARCH(Consulta!$B$12,$Q220))),2,0)+IF(OR(Consulta!$B$4="Qualquer",ISNUMBER(SEARCH(Consulta!$B$4,$R220))),3,0)+IF(Consulta!$B$6="Qualquer",0,IF($O220=Consulta!$B$6,2,-1))+IF(Consulta!$B$7="Não",0,IF($U220="Sim",3,IF($U220="Não",-6,0)))+IF(Consulta!$B$8="Qualquer",0,IF($C220=Consulta!$B$8,2,-3))+IF(Consulta!$B$9="Qualquer",0,IF($D220=Consulta!$B$9,2,-1))+IF($N220="",0,$N220)-ROW()/100000)))))</f>
        <v/>
      </c>
    </row>
    <row r="221" customFormat="false" ht="15" hidden="false" customHeight="false" outlineLevel="0" collapsed="false">
      <c r="A221" s="14"/>
      <c r="B221" s="15"/>
      <c r="C221" s="14"/>
      <c r="D221" s="14"/>
      <c r="E221" s="15"/>
      <c r="F221" s="14"/>
      <c r="G221" s="14"/>
      <c r="H221" s="14"/>
      <c r="I221" s="15"/>
      <c r="J221" s="14"/>
      <c r="K221" s="15"/>
      <c r="L221" s="16"/>
      <c r="M221" s="17"/>
      <c r="N221" s="16"/>
      <c r="O221" s="16"/>
      <c r="P221" s="18"/>
      <c r="Q221" s="16"/>
      <c r="R221" s="18"/>
      <c r="S221" s="16"/>
      <c r="T221" s="16"/>
      <c r="U221" s="16"/>
      <c r="V221" s="16"/>
      <c r="W221" s="16"/>
      <c r="X221" s="16"/>
      <c r="Y221" s="16"/>
      <c r="Z221" s="16"/>
      <c r="AA221" s="18"/>
      <c r="AB221" s="18"/>
      <c r="AC221" s="18"/>
      <c r="AD221" s="18"/>
      <c r="AE221" s="18"/>
      <c r="AF221" s="19" t="str">
        <f aca="false">IF($B221="","",IF(AND(Consulta!$B$11="Sim",$L221&lt;&gt;"Sim"),-9999,IF($H221=Consulta!$B$5,-9999,IF(AND(Consulta!$B$3&lt;&gt;"Qualquer",ISNUMBER(SEARCH(Consulta!$B$3,$AA221))),-9999,IF(AND(Consulta!$B$10="Sim",$V221&lt;&gt;"Sim"),-9999,IF(OR(Consulta!$B$3="Qualquer",ISNUMBER(SEARCH(Consulta!$B$3,$P221))),3,0)+IF(OR(Consulta!$B$12="Qualquer",ISNUMBER(SEARCH(Consulta!$B$12,$Q221))),2,0)+IF(OR(Consulta!$B$4="Qualquer",ISNUMBER(SEARCH(Consulta!$B$4,$R221))),3,0)+IF(Consulta!$B$6="Qualquer",0,IF($O221=Consulta!$B$6,2,-1))+IF(Consulta!$B$7="Não",0,IF($U221="Sim",3,IF($U221="Não",-6,0)))+IF(Consulta!$B$8="Qualquer",0,IF($C221=Consulta!$B$8,2,-3))+IF(Consulta!$B$9="Qualquer",0,IF($D221=Consulta!$B$9,2,-1))+IF($N221="",0,$N221)-ROW()/100000)))))</f>
        <v/>
      </c>
    </row>
    <row r="222" customFormat="false" ht="15" hidden="false" customHeight="false" outlineLevel="0" collapsed="false">
      <c r="A222" s="14"/>
      <c r="B222" s="15"/>
      <c r="C222" s="14"/>
      <c r="D222" s="14"/>
      <c r="E222" s="15"/>
      <c r="F222" s="14"/>
      <c r="G222" s="14"/>
      <c r="H222" s="14"/>
      <c r="I222" s="15"/>
      <c r="J222" s="14"/>
      <c r="K222" s="15"/>
      <c r="L222" s="16"/>
      <c r="M222" s="17"/>
      <c r="N222" s="16"/>
      <c r="O222" s="16"/>
      <c r="P222" s="18"/>
      <c r="Q222" s="16"/>
      <c r="R222" s="18"/>
      <c r="S222" s="16"/>
      <c r="T222" s="16"/>
      <c r="U222" s="16"/>
      <c r="V222" s="16"/>
      <c r="W222" s="16"/>
      <c r="X222" s="16"/>
      <c r="Y222" s="16"/>
      <c r="Z222" s="16"/>
      <c r="AA222" s="18"/>
      <c r="AB222" s="18"/>
      <c r="AC222" s="18"/>
      <c r="AD222" s="18"/>
      <c r="AE222" s="18"/>
      <c r="AF222" s="19" t="str">
        <f aca="false">IF($B222="","",IF(AND(Consulta!$B$11="Sim",$L222&lt;&gt;"Sim"),-9999,IF($H222=Consulta!$B$5,-9999,IF(AND(Consulta!$B$3&lt;&gt;"Qualquer",ISNUMBER(SEARCH(Consulta!$B$3,$AA222))),-9999,IF(AND(Consulta!$B$10="Sim",$V222&lt;&gt;"Sim"),-9999,IF(OR(Consulta!$B$3="Qualquer",ISNUMBER(SEARCH(Consulta!$B$3,$P222))),3,0)+IF(OR(Consulta!$B$12="Qualquer",ISNUMBER(SEARCH(Consulta!$B$12,$Q222))),2,0)+IF(OR(Consulta!$B$4="Qualquer",ISNUMBER(SEARCH(Consulta!$B$4,$R222))),3,0)+IF(Consulta!$B$6="Qualquer",0,IF($O222=Consulta!$B$6,2,-1))+IF(Consulta!$B$7="Não",0,IF($U222="Sim",3,IF($U222="Não",-6,0)))+IF(Consulta!$B$8="Qualquer",0,IF($C222=Consulta!$B$8,2,-3))+IF(Consulta!$B$9="Qualquer",0,IF($D222=Consulta!$B$9,2,-1))+IF($N222="",0,$N222)-ROW()/100000)))))</f>
        <v/>
      </c>
    </row>
    <row r="223" customFormat="false" ht="15" hidden="false" customHeight="false" outlineLevel="0" collapsed="false">
      <c r="A223" s="14"/>
      <c r="B223" s="15"/>
      <c r="C223" s="14"/>
      <c r="D223" s="14"/>
      <c r="E223" s="15"/>
      <c r="F223" s="14"/>
      <c r="G223" s="14"/>
      <c r="H223" s="14"/>
      <c r="I223" s="15"/>
      <c r="J223" s="14"/>
      <c r="K223" s="15"/>
      <c r="L223" s="16"/>
      <c r="M223" s="17"/>
      <c r="N223" s="16"/>
      <c r="O223" s="16"/>
      <c r="P223" s="18"/>
      <c r="Q223" s="16"/>
      <c r="R223" s="18"/>
      <c r="S223" s="16"/>
      <c r="T223" s="16"/>
      <c r="U223" s="16"/>
      <c r="V223" s="16"/>
      <c r="W223" s="16"/>
      <c r="X223" s="16"/>
      <c r="Y223" s="16"/>
      <c r="Z223" s="16"/>
      <c r="AA223" s="18"/>
      <c r="AB223" s="18"/>
      <c r="AC223" s="18"/>
      <c r="AD223" s="18"/>
      <c r="AE223" s="18"/>
      <c r="AF223" s="19" t="str">
        <f aca="false">IF($B223="","",IF(AND(Consulta!$B$11="Sim",$L223&lt;&gt;"Sim"),-9999,IF($H223=Consulta!$B$5,-9999,IF(AND(Consulta!$B$3&lt;&gt;"Qualquer",ISNUMBER(SEARCH(Consulta!$B$3,$AA223))),-9999,IF(AND(Consulta!$B$10="Sim",$V223&lt;&gt;"Sim"),-9999,IF(OR(Consulta!$B$3="Qualquer",ISNUMBER(SEARCH(Consulta!$B$3,$P223))),3,0)+IF(OR(Consulta!$B$12="Qualquer",ISNUMBER(SEARCH(Consulta!$B$12,$Q223))),2,0)+IF(OR(Consulta!$B$4="Qualquer",ISNUMBER(SEARCH(Consulta!$B$4,$R223))),3,0)+IF(Consulta!$B$6="Qualquer",0,IF($O223=Consulta!$B$6,2,-1))+IF(Consulta!$B$7="Não",0,IF($U223="Sim",3,IF($U223="Não",-6,0)))+IF(Consulta!$B$8="Qualquer",0,IF($C223=Consulta!$B$8,2,-3))+IF(Consulta!$B$9="Qualquer",0,IF($D223=Consulta!$B$9,2,-1))+IF($N223="",0,$N223)-ROW()/100000)))))</f>
        <v/>
      </c>
    </row>
    <row r="224" customFormat="false" ht="15" hidden="false" customHeight="false" outlineLevel="0" collapsed="false">
      <c r="A224" s="14"/>
      <c r="B224" s="15"/>
      <c r="C224" s="14"/>
      <c r="D224" s="14"/>
      <c r="E224" s="15"/>
      <c r="F224" s="14"/>
      <c r="G224" s="14"/>
      <c r="H224" s="14"/>
      <c r="I224" s="15"/>
      <c r="J224" s="14"/>
      <c r="K224" s="15"/>
      <c r="L224" s="16"/>
      <c r="M224" s="17"/>
      <c r="N224" s="16"/>
      <c r="O224" s="16"/>
      <c r="P224" s="18"/>
      <c r="Q224" s="16"/>
      <c r="R224" s="18"/>
      <c r="S224" s="16"/>
      <c r="T224" s="16"/>
      <c r="U224" s="16"/>
      <c r="V224" s="16"/>
      <c r="W224" s="16"/>
      <c r="X224" s="16"/>
      <c r="Y224" s="16"/>
      <c r="Z224" s="16"/>
      <c r="AA224" s="18"/>
      <c r="AB224" s="18"/>
      <c r="AC224" s="18"/>
      <c r="AD224" s="18"/>
      <c r="AE224" s="18"/>
      <c r="AF224" s="19" t="str">
        <f aca="false">IF($B224="","",IF(AND(Consulta!$B$11="Sim",$L224&lt;&gt;"Sim"),-9999,IF($H224=Consulta!$B$5,-9999,IF(AND(Consulta!$B$3&lt;&gt;"Qualquer",ISNUMBER(SEARCH(Consulta!$B$3,$AA224))),-9999,IF(AND(Consulta!$B$10="Sim",$V224&lt;&gt;"Sim"),-9999,IF(OR(Consulta!$B$3="Qualquer",ISNUMBER(SEARCH(Consulta!$B$3,$P224))),3,0)+IF(OR(Consulta!$B$12="Qualquer",ISNUMBER(SEARCH(Consulta!$B$12,$Q224))),2,0)+IF(OR(Consulta!$B$4="Qualquer",ISNUMBER(SEARCH(Consulta!$B$4,$R224))),3,0)+IF(Consulta!$B$6="Qualquer",0,IF($O224=Consulta!$B$6,2,-1))+IF(Consulta!$B$7="Não",0,IF($U224="Sim",3,IF($U224="Não",-6,0)))+IF(Consulta!$B$8="Qualquer",0,IF($C224=Consulta!$B$8,2,-3))+IF(Consulta!$B$9="Qualquer",0,IF($D224=Consulta!$B$9,2,-1))+IF($N224="",0,$N224)-ROW()/100000)))))</f>
        <v/>
      </c>
    </row>
    <row r="225" customFormat="false" ht="15" hidden="false" customHeight="false" outlineLevel="0" collapsed="false">
      <c r="A225" s="14"/>
      <c r="B225" s="15"/>
      <c r="C225" s="14"/>
      <c r="D225" s="14"/>
      <c r="E225" s="15"/>
      <c r="F225" s="14"/>
      <c r="G225" s="14"/>
      <c r="H225" s="14"/>
      <c r="I225" s="15"/>
      <c r="J225" s="14"/>
      <c r="K225" s="15"/>
      <c r="L225" s="16"/>
      <c r="M225" s="17"/>
      <c r="N225" s="16"/>
      <c r="O225" s="16"/>
      <c r="P225" s="18"/>
      <c r="Q225" s="16"/>
      <c r="R225" s="18"/>
      <c r="S225" s="16"/>
      <c r="T225" s="16"/>
      <c r="U225" s="16"/>
      <c r="V225" s="16"/>
      <c r="W225" s="16"/>
      <c r="X225" s="16"/>
      <c r="Y225" s="16"/>
      <c r="Z225" s="16"/>
      <c r="AA225" s="18"/>
      <c r="AB225" s="18"/>
      <c r="AC225" s="18"/>
      <c r="AD225" s="18"/>
      <c r="AE225" s="18"/>
      <c r="AF225" s="19" t="str">
        <f aca="false">IF($B225="","",IF(AND(Consulta!$B$11="Sim",$L225&lt;&gt;"Sim"),-9999,IF($H225=Consulta!$B$5,-9999,IF(AND(Consulta!$B$3&lt;&gt;"Qualquer",ISNUMBER(SEARCH(Consulta!$B$3,$AA225))),-9999,IF(AND(Consulta!$B$10="Sim",$V225&lt;&gt;"Sim"),-9999,IF(OR(Consulta!$B$3="Qualquer",ISNUMBER(SEARCH(Consulta!$B$3,$P225))),3,0)+IF(OR(Consulta!$B$12="Qualquer",ISNUMBER(SEARCH(Consulta!$B$12,$Q225))),2,0)+IF(OR(Consulta!$B$4="Qualquer",ISNUMBER(SEARCH(Consulta!$B$4,$R225))),3,0)+IF(Consulta!$B$6="Qualquer",0,IF($O225=Consulta!$B$6,2,-1))+IF(Consulta!$B$7="Não",0,IF($U225="Sim",3,IF($U225="Não",-6,0)))+IF(Consulta!$B$8="Qualquer",0,IF($C225=Consulta!$B$8,2,-3))+IF(Consulta!$B$9="Qualquer",0,IF($D225=Consulta!$B$9,2,-1))+IF($N225="",0,$N225)-ROW()/100000)))))</f>
        <v/>
      </c>
    </row>
    <row r="226" customFormat="false" ht="15" hidden="false" customHeight="false" outlineLevel="0" collapsed="false">
      <c r="A226" s="14"/>
      <c r="B226" s="15"/>
      <c r="C226" s="14"/>
      <c r="D226" s="14"/>
      <c r="E226" s="15"/>
      <c r="F226" s="14"/>
      <c r="G226" s="14"/>
      <c r="H226" s="14"/>
      <c r="I226" s="15"/>
      <c r="J226" s="14"/>
      <c r="K226" s="15"/>
      <c r="L226" s="16"/>
      <c r="M226" s="17"/>
      <c r="N226" s="16"/>
      <c r="O226" s="16"/>
      <c r="P226" s="18"/>
      <c r="Q226" s="16"/>
      <c r="R226" s="18"/>
      <c r="S226" s="16"/>
      <c r="T226" s="16"/>
      <c r="U226" s="16"/>
      <c r="V226" s="16"/>
      <c r="W226" s="16"/>
      <c r="X226" s="16"/>
      <c r="Y226" s="16"/>
      <c r="Z226" s="16"/>
      <c r="AA226" s="18"/>
      <c r="AB226" s="18"/>
      <c r="AC226" s="18"/>
      <c r="AD226" s="18"/>
      <c r="AE226" s="18"/>
      <c r="AF226" s="19" t="str">
        <f aca="false">IF($B226="","",IF(AND(Consulta!$B$11="Sim",$L226&lt;&gt;"Sim"),-9999,IF($H226=Consulta!$B$5,-9999,IF(AND(Consulta!$B$3&lt;&gt;"Qualquer",ISNUMBER(SEARCH(Consulta!$B$3,$AA226))),-9999,IF(AND(Consulta!$B$10="Sim",$V226&lt;&gt;"Sim"),-9999,IF(OR(Consulta!$B$3="Qualquer",ISNUMBER(SEARCH(Consulta!$B$3,$P226))),3,0)+IF(OR(Consulta!$B$12="Qualquer",ISNUMBER(SEARCH(Consulta!$B$12,$Q226))),2,0)+IF(OR(Consulta!$B$4="Qualquer",ISNUMBER(SEARCH(Consulta!$B$4,$R226))),3,0)+IF(Consulta!$B$6="Qualquer",0,IF($O226=Consulta!$B$6,2,-1))+IF(Consulta!$B$7="Não",0,IF($U226="Sim",3,IF($U226="Não",-6,0)))+IF(Consulta!$B$8="Qualquer",0,IF($C226=Consulta!$B$8,2,-3))+IF(Consulta!$B$9="Qualquer",0,IF($D226=Consulta!$B$9,2,-1))+IF($N226="",0,$N226)-ROW()/100000)))))</f>
        <v/>
      </c>
    </row>
    <row r="227" customFormat="false" ht="15" hidden="false" customHeight="false" outlineLevel="0" collapsed="false">
      <c r="A227" s="14"/>
      <c r="B227" s="15"/>
      <c r="C227" s="14"/>
      <c r="D227" s="14"/>
      <c r="E227" s="15"/>
      <c r="F227" s="14"/>
      <c r="G227" s="14"/>
      <c r="H227" s="14"/>
      <c r="I227" s="15"/>
      <c r="J227" s="14"/>
      <c r="K227" s="15"/>
      <c r="L227" s="16"/>
      <c r="M227" s="17"/>
      <c r="N227" s="16"/>
      <c r="O227" s="16"/>
      <c r="P227" s="18"/>
      <c r="Q227" s="16"/>
      <c r="R227" s="18"/>
      <c r="S227" s="16"/>
      <c r="T227" s="16"/>
      <c r="U227" s="16"/>
      <c r="V227" s="16"/>
      <c r="W227" s="16"/>
      <c r="X227" s="16"/>
      <c r="Y227" s="16"/>
      <c r="Z227" s="16"/>
      <c r="AA227" s="18"/>
      <c r="AB227" s="18"/>
      <c r="AC227" s="18"/>
      <c r="AD227" s="18"/>
      <c r="AE227" s="18"/>
      <c r="AF227" s="19" t="str">
        <f aca="false">IF($B227="","",IF(AND(Consulta!$B$11="Sim",$L227&lt;&gt;"Sim"),-9999,IF($H227=Consulta!$B$5,-9999,IF(AND(Consulta!$B$3&lt;&gt;"Qualquer",ISNUMBER(SEARCH(Consulta!$B$3,$AA227))),-9999,IF(AND(Consulta!$B$10="Sim",$V227&lt;&gt;"Sim"),-9999,IF(OR(Consulta!$B$3="Qualquer",ISNUMBER(SEARCH(Consulta!$B$3,$P227))),3,0)+IF(OR(Consulta!$B$12="Qualquer",ISNUMBER(SEARCH(Consulta!$B$12,$Q227))),2,0)+IF(OR(Consulta!$B$4="Qualquer",ISNUMBER(SEARCH(Consulta!$B$4,$R227))),3,0)+IF(Consulta!$B$6="Qualquer",0,IF($O227=Consulta!$B$6,2,-1))+IF(Consulta!$B$7="Não",0,IF($U227="Sim",3,IF($U227="Não",-6,0)))+IF(Consulta!$B$8="Qualquer",0,IF($C227=Consulta!$B$8,2,-3))+IF(Consulta!$B$9="Qualquer",0,IF($D227=Consulta!$B$9,2,-1))+IF($N227="",0,$N227)-ROW()/100000)))))</f>
        <v/>
      </c>
    </row>
    <row r="228" customFormat="false" ht="15" hidden="false" customHeight="false" outlineLevel="0" collapsed="false">
      <c r="A228" s="14"/>
      <c r="B228" s="15"/>
      <c r="C228" s="14"/>
      <c r="D228" s="14"/>
      <c r="E228" s="15"/>
      <c r="F228" s="14"/>
      <c r="G228" s="14"/>
      <c r="H228" s="14"/>
      <c r="I228" s="15"/>
      <c r="J228" s="14"/>
      <c r="K228" s="15"/>
      <c r="L228" s="16"/>
      <c r="M228" s="17"/>
      <c r="N228" s="16"/>
      <c r="O228" s="16"/>
      <c r="P228" s="18"/>
      <c r="Q228" s="16"/>
      <c r="R228" s="18"/>
      <c r="S228" s="16"/>
      <c r="T228" s="16"/>
      <c r="U228" s="16"/>
      <c r="V228" s="16"/>
      <c r="W228" s="16"/>
      <c r="X228" s="16"/>
      <c r="Y228" s="16"/>
      <c r="Z228" s="16"/>
      <c r="AA228" s="18"/>
      <c r="AB228" s="18"/>
      <c r="AC228" s="18"/>
      <c r="AD228" s="18"/>
      <c r="AE228" s="18"/>
      <c r="AF228" s="19" t="str">
        <f aca="false">IF($B228="","",IF(AND(Consulta!$B$11="Sim",$L228&lt;&gt;"Sim"),-9999,IF($H228=Consulta!$B$5,-9999,IF(AND(Consulta!$B$3&lt;&gt;"Qualquer",ISNUMBER(SEARCH(Consulta!$B$3,$AA228))),-9999,IF(AND(Consulta!$B$10="Sim",$V228&lt;&gt;"Sim"),-9999,IF(OR(Consulta!$B$3="Qualquer",ISNUMBER(SEARCH(Consulta!$B$3,$P228))),3,0)+IF(OR(Consulta!$B$12="Qualquer",ISNUMBER(SEARCH(Consulta!$B$12,$Q228))),2,0)+IF(OR(Consulta!$B$4="Qualquer",ISNUMBER(SEARCH(Consulta!$B$4,$R228))),3,0)+IF(Consulta!$B$6="Qualquer",0,IF($O228=Consulta!$B$6,2,-1))+IF(Consulta!$B$7="Não",0,IF($U228="Sim",3,IF($U228="Não",-6,0)))+IF(Consulta!$B$8="Qualquer",0,IF($C228=Consulta!$B$8,2,-3))+IF(Consulta!$B$9="Qualquer",0,IF($D228=Consulta!$B$9,2,-1))+IF($N228="",0,$N228)-ROW()/100000)))))</f>
        <v/>
      </c>
    </row>
    <row r="229" customFormat="false" ht="15" hidden="false" customHeight="false" outlineLevel="0" collapsed="false">
      <c r="A229" s="14"/>
      <c r="B229" s="15"/>
      <c r="C229" s="14"/>
      <c r="D229" s="14"/>
      <c r="E229" s="15"/>
      <c r="F229" s="14"/>
      <c r="G229" s="14"/>
      <c r="H229" s="14"/>
      <c r="I229" s="15"/>
      <c r="J229" s="14"/>
      <c r="K229" s="15"/>
      <c r="L229" s="16"/>
      <c r="M229" s="17"/>
      <c r="N229" s="16"/>
      <c r="O229" s="16"/>
      <c r="P229" s="18"/>
      <c r="Q229" s="16"/>
      <c r="R229" s="18"/>
      <c r="S229" s="16"/>
      <c r="T229" s="16"/>
      <c r="U229" s="16"/>
      <c r="V229" s="16"/>
      <c r="W229" s="16"/>
      <c r="X229" s="16"/>
      <c r="Y229" s="16"/>
      <c r="Z229" s="16"/>
      <c r="AA229" s="18"/>
      <c r="AB229" s="18"/>
      <c r="AC229" s="18"/>
      <c r="AD229" s="18"/>
      <c r="AE229" s="18"/>
      <c r="AF229" s="19" t="str">
        <f aca="false">IF($B229="","",IF(AND(Consulta!$B$11="Sim",$L229&lt;&gt;"Sim"),-9999,IF($H229=Consulta!$B$5,-9999,IF(AND(Consulta!$B$3&lt;&gt;"Qualquer",ISNUMBER(SEARCH(Consulta!$B$3,$AA229))),-9999,IF(AND(Consulta!$B$10="Sim",$V229&lt;&gt;"Sim"),-9999,IF(OR(Consulta!$B$3="Qualquer",ISNUMBER(SEARCH(Consulta!$B$3,$P229))),3,0)+IF(OR(Consulta!$B$12="Qualquer",ISNUMBER(SEARCH(Consulta!$B$12,$Q229))),2,0)+IF(OR(Consulta!$B$4="Qualquer",ISNUMBER(SEARCH(Consulta!$B$4,$R229))),3,0)+IF(Consulta!$B$6="Qualquer",0,IF($O229=Consulta!$B$6,2,-1))+IF(Consulta!$B$7="Não",0,IF($U229="Sim",3,IF($U229="Não",-6,0)))+IF(Consulta!$B$8="Qualquer",0,IF($C229=Consulta!$B$8,2,-3))+IF(Consulta!$B$9="Qualquer",0,IF($D229=Consulta!$B$9,2,-1))+IF($N229="",0,$N229)-ROW()/100000)))))</f>
        <v/>
      </c>
    </row>
    <row r="230" customFormat="false" ht="15" hidden="false" customHeight="false" outlineLevel="0" collapsed="false">
      <c r="A230" s="14"/>
      <c r="B230" s="15"/>
      <c r="C230" s="14"/>
      <c r="D230" s="14"/>
      <c r="E230" s="15"/>
      <c r="F230" s="14"/>
      <c r="G230" s="14"/>
      <c r="H230" s="14"/>
      <c r="I230" s="15"/>
      <c r="J230" s="14"/>
      <c r="K230" s="15"/>
      <c r="L230" s="16"/>
      <c r="M230" s="17"/>
      <c r="N230" s="16"/>
      <c r="O230" s="16"/>
      <c r="P230" s="18"/>
      <c r="Q230" s="16"/>
      <c r="R230" s="18"/>
      <c r="S230" s="16"/>
      <c r="T230" s="16"/>
      <c r="U230" s="16"/>
      <c r="V230" s="16"/>
      <c r="W230" s="16"/>
      <c r="X230" s="16"/>
      <c r="Y230" s="16"/>
      <c r="Z230" s="16"/>
      <c r="AA230" s="18"/>
      <c r="AB230" s="18"/>
      <c r="AC230" s="18"/>
      <c r="AD230" s="18"/>
      <c r="AE230" s="18"/>
      <c r="AF230" s="19" t="str">
        <f aca="false">IF($B230="","",IF(AND(Consulta!$B$11="Sim",$L230&lt;&gt;"Sim"),-9999,IF($H230=Consulta!$B$5,-9999,IF(AND(Consulta!$B$3&lt;&gt;"Qualquer",ISNUMBER(SEARCH(Consulta!$B$3,$AA230))),-9999,IF(AND(Consulta!$B$10="Sim",$V230&lt;&gt;"Sim"),-9999,IF(OR(Consulta!$B$3="Qualquer",ISNUMBER(SEARCH(Consulta!$B$3,$P230))),3,0)+IF(OR(Consulta!$B$12="Qualquer",ISNUMBER(SEARCH(Consulta!$B$12,$Q230))),2,0)+IF(OR(Consulta!$B$4="Qualquer",ISNUMBER(SEARCH(Consulta!$B$4,$R230))),3,0)+IF(Consulta!$B$6="Qualquer",0,IF($O230=Consulta!$B$6,2,-1))+IF(Consulta!$B$7="Não",0,IF($U230="Sim",3,IF($U230="Não",-6,0)))+IF(Consulta!$B$8="Qualquer",0,IF($C230=Consulta!$B$8,2,-3))+IF(Consulta!$B$9="Qualquer",0,IF($D230=Consulta!$B$9,2,-1))+IF($N230="",0,$N230)-ROW()/100000)))))</f>
        <v/>
      </c>
    </row>
    <row r="231" customFormat="false" ht="15" hidden="false" customHeight="false" outlineLevel="0" collapsed="false">
      <c r="A231" s="14"/>
      <c r="B231" s="15"/>
      <c r="C231" s="14"/>
      <c r="D231" s="14"/>
      <c r="E231" s="15"/>
      <c r="F231" s="14"/>
      <c r="G231" s="14"/>
      <c r="H231" s="14"/>
      <c r="I231" s="15"/>
      <c r="J231" s="14"/>
      <c r="K231" s="15"/>
      <c r="L231" s="16"/>
      <c r="M231" s="17"/>
      <c r="N231" s="16"/>
      <c r="O231" s="16"/>
      <c r="P231" s="18"/>
      <c r="Q231" s="16"/>
      <c r="R231" s="18"/>
      <c r="S231" s="16"/>
      <c r="T231" s="16"/>
      <c r="U231" s="16"/>
      <c r="V231" s="16"/>
      <c r="W231" s="16"/>
      <c r="X231" s="16"/>
      <c r="Y231" s="16"/>
      <c r="Z231" s="16"/>
      <c r="AA231" s="18"/>
      <c r="AB231" s="18"/>
      <c r="AC231" s="18"/>
      <c r="AD231" s="18"/>
      <c r="AE231" s="18"/>
      <c r="AF231" s="19" t="str">
        <f aca="false">IF($B231="","",IF(AND(Consulta!$B$11="Sim",$L231&lt;&gt;"Sim"),-9999,IF($H231=Consulta!$B$5,-9999,IF(AND(Consulta!$B$3&lt;&gt;"Qualquer",ISNUMBER(SEARCH(Consulta!$B$3,$AA231))),-9999,IF(AND(Consulta!$B$10="Sim",$V231&lt;&gt;"Sim"),-9999,IF(OR(Consulta!$B$3="Qualquer",ISNUMBER(SEARCH(Consulta!$B$3,$P231))),3,0)+IF(OR(Consulta!$B$12="Qualquer",ISNUMBER(SEARCH(Consulta!$B$12,$Q231))),2,0)+IF(OR(Consulta!$B$4="Qualquer",ISNUMBER(SEARCH(Consulta!$B$4,$R231))),3,0)+IF(Consulta!$B$6="Qualquer",0,IF($O231=Consulta!$B$6,2,-1))+IF(Consulta!$B$7="Não",0,IF($U231="Sim",3,IF($U231="Não",-6,0)))+IF(Consulta!$B$8="Qualquer",0,IF($C231=Consulta!$B$8,2,-3))+IF(Consulta!$B$9="Qualquer",0,IF($D231=Consulta!$B$9,2,-1))+IF($N231="",0,$N231)-ROW()/100000)))))</f>
        <v/>
      </c>
    </row>
    <row r="232" customFormat="false" ht="15" hidden="false" customHeight="false" outlineLevel="0" collapsed="false">
      <c r="A232" s="14"/>
      <c r="B232" s="15"/>
      <c r="C232" s="14"/>
      <c r="D232" s="14"/>
      <c r="E232" s="15"/>
      <c r="F232" s="14"/>
      <c r="G232" s="14"/>
      <c r="H232" s="14"/>
      <c r="I232" s="15"/>
      <c r="J232" s="14"/>
      <c r="K232" s="15"/>
      <c r="L232" s="16"/>
      <c r="M232" s="17"/>
      <c r="N232" s="16"/>
      <c r="O232" s="16"/>
      <c r="P232" s="18"/>
      <c r="Q232" s="16"/>
      <c r="R232" s="18"/>
      <c r="S232" s="16"/>
      <c r="T232" s="16"/>
      <c r="U232" s="16"/>
      <c r="V232" s="16"/>
      <c r="W232" s="16"/>
      <c r="X232" s="16"/>
      <c r="Y232" s="16"/>
      <c r="Z232" s="16"/>
      <c r="AA232" s="18"/>
      <c r="AB232" s="18"/>
      <c r="AC232" s="18"/>
      <c r="AD232" s="18"/>
      <c r="AE232" s="18"/>
      <c r="AF232" s="19" t="str">
        <f aca="false">IF($B232="","",IF(AND(Consulta!$B$11="Sim",$L232&lt;&gt;"Sim"),-9999,IF($H232=Consulta!$B$5,-9999,IF(AND(Consulta!$B$3&lt;&gt;"Qualquer",ISNUMBER(SEARCH(Consulta!$B$3,$AA232))),-9999,IF(AND(Consulta!$B$10="Sim",$V232&lt;&gt;"Sim"),-9999,IF(OR(Consulta!$B$3="Qualquer",ISNUMBER(SEARCH(Consulta!$B$3,$P232))),3,0)+IF(OR(Consulta!$B$12="Qualquer",ISNUMBER(SEARCH(Consulta!$B$12,$Q232))),2,0)+IF(OR(Consulta!$B$4="Qualquer",ISNUMBER(SEARCH(Consulta!$B$4,$R232))),3,0)+IF(Consulta!$B$6="Qualquer",0,IF($O232=Consulta!$B$6,2,-1))+IF(Consulta!$B$7="Não",0,IF($U232="Sim",3,IF($U232="Não",-6,0)))+IF(Consulta!$B$8="Qualquer",0,IF($C232=Consulta!$B$8,2,-3))+IF(Consulta!$B$9="Qualquer",0,IF($D232=Consulta!$B$9,2,-1))+IF($N232="",0,$N232)-ROW()/100000)))))</f>
        <v/>
      </c>
    </row>
    <row r="233" customFormat="false" ht="15" hidden="false" customHeight="false" outlineLevel="0" collapsed="false">
      <c r="A233" s="14"/>
      <c r="B233" s="15"/>
      <c r="C233" s="14"/>
      <c r="D233" s="14"/>
      <c r="E233" s="15"/>
      <c r="F233" s="14"/>
      <c r="G233" s="14"/>
      <c r="H233" s="14"/>
      <c r="I233" s="15"/>
      <c r="J233" s="14"/>
      <c r="K233" s="15"/>
      <c r="L233" s="16"/>
      <c r="M233" s="17"/>
      <c r="N233" s="16"/>
      <c r="O233" s="16"/>
      <c r="P233" s="18"/>
      <c r="Q233" s="16"/>
      <c r="R233" s="18"/>
      <c r="S233" s="16"/>
      <c r="T233" s="16"/>
      <c r="U233" s="16"/>
      <c r="V233" s="16"/>
      <c r="W233" s="16"/>
      <c r="X233" s="16"/>
      <c r="Y233" s="16"/>
      <c r="Z233" s="16"/>
      <c r="AA233" s="18"/>
      <c r="AB233" s="18"/>
      <c r="AC233" s="18"/>
      <c r="AD233" s="18"/>
      <c r="AE233" s="18"/>
      <c r="AF233" s="19" t="str">
        <f aca="false">IF($B233="","",IF(AND(Consulta!$B$11="Sim",$L233&lt;&gt;"Sim"),-9999,IF($H233=Consulta!$B$5,-9999,IF(AND(Consulta!$B$3&lt;&gt;"Qualquer",ISNUMBER(SEARCH(Consulta!$B$3,$AA233))),-9999,IF(AND(Consulta!$B$10="Sim",$V233&lt;&gt;"Sim"),-9999,IF(OR(Consulta!$B$3="Qualquer",ISNUMBER(SEARCH(Consulta!$B$3,$P233))),3,0)+IF(OR(Consulta!$B$12="Qualquer",ISNUMBER(SEARCH(Consulta!$B$12,$Q233))),2,0)+IF(OR(Consulta!$B$4="Qualquer",ISNUMBER(SEARCH(Consulta!$B$4,$R233))),3,0)+IF(Consulta!$B$6="Qualquer",0,IF($O233=Consulta!$B$6,2,-1))+IF(Consulta!$B$7="Não",0,IF($U233="Sim",3,IF($U233="Não",-6,0)))+IF(Consulta!$B$8="Qualquer",0,IF($C233=Consulta!$B$8,2,-3))+IF(Consulta!$B$9="Qualquer",0,IF($D233=Consulta!$B$9,2,-1))+IF($N233="",0,$N233)-ROW()/100000)))))</f>
        <v/>
      </c>
    </row>
    <row r="234" customFormat="false" ht="15" hidden="false" customHeight="false" outlineLevel="0" collapsed="false">
      <c r="A234" s="14"/>
      <c r="B234" s="15"/>
      <c r="C234" s="14"/>
      <c r="D234" s="14"/>
      <c r="E234" s="15"/>
      <c r="F234" s="14"/>
      <c r="G234" s="14"/>
      <c r="H234" s="14"/>
      <c r="I234" s="15"/>
      <c r="J234" s="14"/>
      <c r="K234" s="15"/>
      <c r="L234" s="16"/>
      <c r="M234" s="17"/>
      <c r="N234" s="16"/>
      <c r="O234" s="16"/>
      <c r="P234" s="18"/>
      <c r="Q234" s="16"/>
      <c r="R234" s="18"/>
      <c r="S234" s="16"/>
      <c r="T234" s="16"/>
      <c r="U234" s="16"/>
      <c r="V234" s="16"/>
      <c r="W234" s="16"/>
      <c r="X234" s="16"/>
      <c r="Y234" s="16"/>
      <c r="Z234" s="16"/>
      <c r="AA234" s="18"/>
      <c r="AB234" s="18"/>
      <c r="AC234" s="18"/>
      <c r="AD234" s="18"/>
      <c r="AE234" s="18"/>
      <c r="AF234" s="19" t="str">
        <f aca="false">IF($B234="","",IF(AND(Consulta!$B$11="Sim",$L234&lt;&gt;"Sim"),-9999,IF($H234=Consulta!$B$5,-9999,IF(AND(Consulta!$B$3&lt;&gt;"Qualquer",ISNUMBER(SEARCH(Consulta!$B$3,$AA234))),-9999,IF(AND(Consulta!$B$10="Sim",$V234&lt;&gt;"Sim"),-9999,IF(OR(Consulta!$B$3="Qualquer",ISNUMBER(SEARCH(Consulta!$B$3,$P234))),3,0)+IF(OR(Consulta!$B$12="Qualquer",ISNUMBER(SEARCH(Consulta!$B$12,$Q234))),2,0)+IF(OR(Consulta!$B$4="Qualquer",ISNUMBER(SEARCH(Consulta!$B$4,$R234))),3,0)+IF(Consulta!$B$6="Qualquer",0,IF($O234=Consulta!$B$6,2,-1))+IF(Consulta!$B$7="Não",0,IF($U234="Sim",3,IF($U234="Não",-6,0)))+IF(Consulta!$B$8="Qualquer",0,IF($C234=Consulta!$B$8,2,-3))+IF(Consulta!$B$9="Qualquer",0,IF($D234=Consulta!$B$9,2,-1))+IF($N234="",0,$N234)-ROW()/100000)))))</f>
        <v/>
      </c>
    </row>
    <row r="235" customFormat="false" ht="15" hidden="false" customHeight="false" outlineLevel="0" collapsed="false">
      <c r="A235" s="14"/>
      <c r="B235" s="15"/>
      <c r="C235" s="14"/>
      <c r="D235" s="14"/>
      <c r="E235" s="15"/>
      <c r="F235" s="14"/>
      <c r="G235" s="14"/>
      <c r="H235" s="14"/>
      <c r="I235" s="15"/>
      <c r="J235" s="14"/>
      <c r="K235" s="15"/>
      <c r="L235" s="16"/>
      <c r="M235" s="17"/>
      <c r="N235" s="16"/>
      <c r="O235" s="16"/>
      <c r="P235" s="18"/>
      <c r="Q235" s="16"/>
      <c r="R235" s="18"/>
      <c r="S235" s="16"/>
      <c r="T235" s="16"/>
      <c r="U235" s="16"/>
      <c r="V235" s="16"/>
      <c r="W235" s="16"/>
      <c r="X235" s="16"/>
      <c r="Y235" s="16"/>
      <c r="Z235" s="16"/>
      <c r="AA235" s="18"/>
      <c r="AB235" s="18"/>
      <c r="AC235" s="18"/>
      <c r="AD235" s="18"/>
      <c r="AE235" s="18"/>
      <c r="AF235" s="19" t="str">
        <f aca="false">IF($B235="","",IF(AND(Consulta!$B$11="Sim",$L235&lt;&gt;"Sim"),-9999,IF($H235=Consulta!$B$5,-9999,IF(AND(Consulta!$B$3&lt;&gt;"Qualquer",ISNUMBER(SEARCH(Consulta!$B$3,$AA235))),-9999,IF(AND(Consulta!$B$10="Sim",$V235&lt;&gt;"Sim"),-9999,IF(OR(Consulta!$B$3="Qualquer",ISNUMBER(SEARCH(Consulta!$B$3,$P235))),3,0)+IF(OR(Consulta!$B$12="Qualquer",ISNUMBER(SEARCH(Consulta!$B$12,$Q235))),2,0)+IF(OR(Consulta!$B$4="Qualquer",ISNUMBER(SEARCH(Consulta!$B$4,$R235))),3,0)+IF(Consulta!$B$6="Qualquer",0,IF($O235=Consulta!$B$6,2,-1))+IF(Consulta!$B$7="Não",0,IF($U235="Sim",3,IF($U235="Não",-6,0)))+IF(Consulta!$B$8="Qualquer",0,IF($C235=Consulta!$B$8,2,-3))+IF(Consulta!$B$9="Qualquer",0,IF($D235=Consulta!$B$9,2,-1))+IF($N235="",0,$N235)-ROW()/100000)))))</f>
        <v/>
      </c>
    </row>
    <row r="236" customFormat="false" ht="15" hidden="false" customHeight="false" outlineLevel="0" collapsed="false">
      <c r="A236" s="14"/>
      <c r="B236" s="15"/>
      <c r="C236" s="14"/>
      <c r="D236" s="14"/>
      <c r="E236" s="15"/>
      <c r="F236" s="14"/>
      <c r="G236" s="14"/>
      <c r="H236" s="14"/>
      <c r="I236" s="15"/>
      <c r="J236" s="14"/>
      <c r="K236" s="15"/>
      <c r="L236" s="16"/>
      <c r="M236" s="17"/>
      <c r="N236" s="16"/>
      <c r="O236" s="16"/>
      <c r="P236" s="18"/>
      <c r="Q236" s="16"/>
      <c r="R236" s="18"/>
      <c r="S236" s="16"/>
      <c r="T236" s="16"/>
      <c r="U236" s="16"/>
      <c r="V236" s="16"/>
      <c r="W236" s="16"/>
      <c r="X236" s="16"/>
      <c r="Y236" s="16"/>
      <c r="Z236" s="16"/>
      <c r="AA236" s="18"/>
      <c r="AB236" s="18"/>
      <c r="AC236" s="18"/>
      <c r="AD236" s="18"/>
      <c r="AE236" s="18"/>
      <c r="AF236" s="19" t="str">
        <f aca="false">IF($B236="","",IF(AND(Consulta!$B$11="Sim",$L236&lt;&gt;"Sim"),-9999,IF($H236=Consulta!$B$5,-9999,IF(AND(Consulta!$B$3&lt;&gt;"Qualquer",ISNUMBER(SEARCH(Consulta!$B$3,$AA236))),-9999,IF(AND(Consulta!$B$10="Sim",$V236&lt;&gt;"Sim"),-9999,IF(OR(Consulta!$B$3="Qualquer",ISNUMBER(SEARCH(Consulta!$B$3,$P236))),3,0)+IF(OR(Consulta!$B$12="Qualquer",ISNUMBER(SEARCH(Consulta!$B$12,$Q236))),2,0)+IF(OR(Consulta!$B$4="Qualquer",ISNUMBER(SEARCH(Consulta!$B$4,$R236))),3,0)+IF(Consulta!$B$6="Qualquer",0,IF($O236=Consulta!$B$6,2,-1))+IF(Consulta!$B$7="Não",0,IF($U236="Sim",3,IF($U236="Não",-6,0)))+IF(Consulta!$B$8="Qualquer",0,IF($C236=Consulta!$B$8,2,-3))+IF(Consulta!$B$9="Qualquer",0,IF($D236=Consulta!$B$9,2,-1))+IF($N236="",0,$N236)-ROW()/100000)))))</f>
        <v/>
      </c>
    </row>
    <row r="237" customFormat="false" ht="15" hidden="false" customHeight="false" outlineLevel="0" collapsed="false">
      <c r="A237" s="14"/>
      <c r="B237" s="15"/>
      <c r="C237" s="14"/>
      <c r="D237" s="14"/>
      <c r="E237" s="15"/>
      <c r="F237" s="14"/>
      <c r="G237" s="14"/>
      <c r="H237" s="14"/>
      <c r="I237" s="15"/>
      <c r="J237" s="14"/>
      <c r="K237" s="15"/>
      <c r="L237" s="16"/>
      <c r="M237" s="17"/>
      <c r="N237" s="16"/>
      <c r="O237" s="16"/>
      <c r="P237" s="18"/>
      <c r="Q237" s="16"/>
      <c r="R237" s="18"/>
      <c r="S237" s="16"/>
      <c r="T237" s="16"/>
      <c r="U237" s="16"/>
      <c r="V237" s="16"/>
      <c r="W237" s="16"/>
      <c r="X237" s="16"/>
      <c r="Y237" s="16"/>
      <c r="Z237" s="16"/>
      <c r="AA237" s="18"/>
      <c r="AB237" s="18"/>
      <c r="AC237" s="18"/>
      <c r="AD237" s="18"/>
      <c r="AE237" s="18"/>
      <c r="AF237" s="19" t="str">
        <f aca="false">IF($B237="","",IF(AND(Consulta!$B$11="Sim",$L237&lt;&gt;"Sim"),-9999,IF($H237=Consulta!$B$5,-9999,IF(AND(Consulta!$B$3&lt;&gt;"Qualquer",ISNUMBER(SEARCH(Consulta!$B$3,$AA237))),-9999,IF(AND(Consulta!$B$10="Sim",$V237&lt;&gt;"Sim"),-9999,IF(OR(Consulta!$B$3="Qualquer",ISNUMBER(SEARCH(Consulta!$B$3,$P237))),3,0)+IF(OR(Consulta!$B$12="Qualquer",ISNUMBER(SEARCH(Consulta!$B$12,$Q237))),2,0)+IF(OR(Consulta!$B$4="Qualquer",ISNUMBER(SEARCH(Consulta!$B$4,$R237))),3,0)+IF(Consulta!$B$6="Qualquer",0,IF($O237=Consulta!$B$6,2,-1))+IF(Consulta!$B$7="Não",0,IF($U237="Sim",3,IF($U237="Não",-6,0)))+IF(Consulta!$B$8="Qualquer",0,IF($C237=Consulta!$B$8,2,-3))+IF(Consulta!$B$9="Qualquer",0,IF($D237=Consulta!$B$9,2,-1))+IF($N237="",0,$N237)-ROW()/100000)))))</f>
        <v/>
      </c>
    </row>
    <row r="238" customFormat="false" ht="15" hidden="false" customHeight="false" outlineLevel="0" collapsed="false">
      <c r="A238" s="14"/>
      <c r="B238" s="15"/>
      <c r="C238" s="14"/>
      <c r="D238" s="14"/>
      <c r="E238" s="15"/>
      <c r="F238" s="14"/>
      <c r="G238" s="14"/>
      <c r="H238" s="14"/>
      <c r="I238" s="15"/>
      <c r="J238" s="14"/>
      <c r="K238" s="15"/>
      <c r="L238" s="16"/>
      <c r="M238" s="17"/>
      <c r="N238" s="16"/>
      <c r="O238" s="16"/>
      <c r="P238" s="18"/>
      <c r="Q238" s="16"/>
      <c r="R238" s="18"/>
      <c r="S238" s="16"/>
      <c r="T238" s="16"/>
      <c r="U238" s="16"/>
      <c r="V238" s="16"/>
      <c r="W238" s="16"/>
      <c r="X238" s="16"/>
      <c r="Y238" s="16"/>
      <c r="Z238" s="16"/>
      <c r="AA238" s="18"/>
      <c r="AB238" s="18"/>
      <c r="AC238" s="18"/>
      <c r="AD238" s="18"/>
      <c r="AE238" s="18"/>
      <c r="AF238" s="19" t="str">
        <f aca="false">IF($B238="","",IF(AND(Consulta!$B$11="Sim",$L238&lt;&gt;"Sim"),-9999,IF($H238=Consulta!$B$5,-9999,IF(AND(Consulta!$B$3&lt;&gt;"Qualquer",ISNUMBER(SEARCH(Consulta!$B$3,$AA238))),-9999,IF(AND(Consulta!$B$10="Sim",$V238&lt;&gt;"Sim"),-9999,IF(OR(Consulta!$B$3="Qualquer",ISNUMBER(SEARCH(Consulta!$B$3,$P238))),3,0)+IF(OR(Consulta!$B$12="Qualquer",ISNUMBER(SEARCH(Consulta!$B$12,$Q238))),2,0)+IF(OR(Consulta!$B$4="Qualquer",ISNUMBER(SEARCH(Consulta!$B$4,$R238))),3,0)+IF(Consulta!$B$6="Qualquer",0,IF($O238=Consulta!$B$6,2,-1))+IF(Consulta!$B$7="Não",0,IF($U238="Sim",3,IF($U238="Não",-6,0)))+IF(Consulta!$B$8="Qualquer",0,IF($C238=Consulta!$B$8,2,-3))+IF(Consulta!$B$9="Qualquer",0,IF($D238=Consulta!$B$9,2,-1))+IF($N238="",0,$N238)-ROW()/100000)))))</f>
        <v/>
      </c>
    </row>
    <row r="239" customFormat="false" ht="15" hidden="false" customHeight="false" outlineLevel="0" collapsed="false">
      <c r="A239" s="14"/>
      <c r="B239" s="15"/>
      <c r="C239" s="14"/>
      <c r="D239" s="14"/>
      <c r="E239" s="15"/>
      <c r="F239" s="14"/>
      <c r="G239" s="14"/>
      <c r="H239" s="14"/>
      <c r="I239" s="15"/>
      <c r="J239" s="14"/>
      <c r="K239" s="15"/>
      <c r="L239" s="16"/>
      <c r="M239" s="17"/>
      <c r="N239" s="16"/>
      <c r="O239" s="16"/>
      <c r="P239" s="18"/>
      <c r="Q239" s="16"/>
      <c r="R239" s="18"/>
      <c r="S239" s="16"/>
      <c r="T239" s="16"/>
      <c r="U239" s="16"/>
      <c r="V239" s="16"/>
      <c r="W239" s="16"/>
      <c r="X239" s="16"/>
      <c r="Y239" s="16"/>
      <c r="Z239" s="16"/>
      <c r="AA239" s="18"/>
      <c r="AB239" s="18"/>
      <c r="AC239" s="18"/>
      <c r="AD239" s="18"/>
      <c r="AE239" s="18"/>
      <c r="AF239" s="19" t="str">
        <f aca="false">IF($B239="","",IF(AND(Consulta!$B$11="Sim",$L239&lt;&gt;"Sim"),-9999,IF($H239=Consulta!$B$5,-9999,IF(AND(Consulta!$B$3&lt;&gt;"Qualquer",ISNUMBER(SEARCH(Consulta!$B$3,$AA239))),-9999,IF(AND(Consulta!$B$10="Sim",$V239&lt;&gt;"Sim"),-9999,IF(OR(Consulta!$B$3="Qualquer",ISNUMBER(SEARCH(Consulta!$B$3,$P239))),3,0)+IF(OR(Consulta!$B$12="Qualquer",ISNUMBER(SEARCH(Consulta!$B$12,$Q239))),2,0)+IF(OR(Consulta!$B$4="Qualquer",ISNUMBER(SEARCH(Consulta!$B$4,$R239))),3,0)+IF(Consulta!$B$6="Qualquer",0,IF($O239=Consulta!$B$6,2,-1))+IF(Consulta!$B$7="Não",0,IF($U239="Sim",3,IF($U239="Não",-6,0)))+IF(Consulta!$B$8="Qualquer",0,IF($C239=Consulta!$B$8,2,-3))+IF(Consulta!$B$9="Qualquer",0,IF($D239=Consulta!$B$9,2,-1))+IF($N239="",0,$N239)-ROW()/100000)))))</f>
        <v/>
      </c>
    </row>
    <row r="240" customFormat="false" ht="15" hidden="false" customHeight="false" outlineLevel="0" collapsed="false">
      <c r="A240" s="14"/>
      <c r="B240" s="15"/>
      <c r="C240" s="14"/>
      <c r="D240" s="14"/>
      <c r="E240" s="15"/>
      <c r="F240" s="14"/>
      <c r="G240" s="14"/>
      <c r="H240" s="14"/>
      <c r="I240" s="15"/>
      <c r="J240" s="14"/>
      <c r="K240" s="15"/>
      <c r="L240" s="16"/>
      <c r="M240" s="17"/>
      <c r="N240" s="16"/>
      <c r="O240" s="16"/>
      <c r="P240" s="18"/>
      <c r="Q240" s="16"/>
      <c r="R240" s="18"/>
      <c r="S240" s="16"/>
      <c r="T240" s="16"/>
      <c r="U240" s="16"/>
      <c r="V240" s="16"/>
      <c r="W240" s="16"/>
      <c r="X240" s="16"/>
      <c r="Y240" s="16"/>
      <c r="Z240" s="16"/>
      <c r="AA240" s="18"/>
      <c r="AB240" s="18"/>
      <c r="AC240" s="18"/>
      <c r="AD240" s="18"/>
      <c r="AE240" s="18"/>
      <c r="AF240" s="19" t="str">
        <f aca="false">IF($B240="","",IF(AND(Consulta!$B$11="Sim",$L240&lt;&gt;"Sim"),-9999,IF($H240=Consulta!$B$5,-9999,IF(AND(Consulta!$B$3&lt;&gt;"Qualquer",ISNUMBER(SEARCH(Consulta!$B$3,$AA240))),-9999,IF(AND(Consulta!$B$10="Sim",$V240&lt;&gt;"Sim"),-9999,IF(OR(Consulta!$B$3="Qualquer",ISNUMBER(SEARCH(Consulta!$B$3,$P240))),3,0)+IF(OR(Consulta!$B$12="Qualquer",ISNUMBER(SEARCH(Consulta!$B$12,$Q240))),2,0)+IF(OR(Consulta!$B$4="Qualquer",ISNUMBER(SEARCH(Consulta!$B$4,$R240))),3,0)+IF(Consulta!$B$6="Qualquer",0,IF($O240=Consulta!$B$6,2,-1))+IF(Consulta!$B$7="Não",0,IF($U240="Sim",3,IF($U240="Não",-6,0)))+IF(Consulta!$B$8="Qualquer",0,IF($C240=Consulta!$B$8,2,-3))+IF(Consulta!$B$9="Qualquer",0,IF($D240=Consulta!$B$9,2,-1))+IF($N240="",0,$N240)-ROW()/100000)))))</f>
        <v/>
      </c>
    </row>
    <row r="241" customFormat="false" ht="15" hidden="false" customHeight="false" outlineLevel="0" collapsed="false">
      <c r="A241" s="14"/>
      <c r="B241" s="15"/>
      <c r="C241" s="14"/>
      <c r="D241" s="14"/>
      <c r="E241" s="15"/>
      <c r="F241" s="14"/>
      <c r="G241" s="14"/>
      <c r="H241" s="14"/>
      <c r="I241" s="15"/>
      <c r="J241" s="14"/>
      <c r="K241" s="15"/>
      <c r="L241" s="16"/>
      <c r="M241" s="17"/>
      <c r="N241" s="16"/>
      <c r="O241" s="16"/>
      <c r="P241" s="18"/>
      <c r="Q241" s="16"/>
      <c r="R241" s="18"/>
      <c r="S241" s="16"/>
      <c r="T241" s="16"/>
      <c r="U241" s="16"/>
      <c r="V241" s="16"/>
      <c r="W241" s="16"/>
      <c r="X241" s="16"/>
      <c r="Y241" s="16"/>
      <c r="Z241" s="16"/>
      <c r="AA241" s="18"/>
      <c r="AB241" s="18"/>
      <c r="AC241" s="18"/>
      <c r="AD241" s="18"/>
      <c r="AE241" s="18"/>
      <c r="AF241" s="19" t="str">
        <f aca="false">IF($B241="","",IF(AND(Consulta!$B$11="Sim",$L241&lt;&gt;"Sim"),-9999,IF($H241=Consulta!$B$5,-9999,IF(AND(Consulta!$B$3&lt;&gt;"Qualquer",ISNUMBER(SEARCH(Consulta!$B$3,$AA241))),-9999,IF(AND(Consulta!$B$10="Sim",$V241&lt;&gt;"Sim"),-9999,IF(OR(Consulta!$B$3="Qualquer",ISNUMBER(SEARCH(Consulta!$B$3,$P241))),3,0)+IF(OR(Consulta!$B$12="Qualquer",ISNUMBER(SEARCH(Consulta!$B$12,$Q241))),2,0)+IF(OR(Consulta!$B$4="Qualquer",ISNUMBER(SEARCH(Consulta!$B$4,$R241))),3,0)+IF(Consulta!$B$6="Qualquer",0,IF($O241=Consulta!$B$6,2,-1))+IF(Consulta!$B$7="Não",0,IF($U241="Sim",3,IF($U241="Não",-6,0)))+IF(Consulta!$B$8="Qualquer",0,IF($C241=Consulta!$B$8,2,-3))+IF(Consulta!$B$9="Qualquer",0,IF($D241=Consulta!$B$9,2,-1))+IF($N241="",0,$N241)-ROW()/100000)))))</f>
        <v/>
      </c>
    </row>
    <row r="242" customFormat="false" ht="15" hidden="false" customHeight="false" outlineLevel="0" collapsed="false">
      <c r="A242" s="14"/>
      <c r="B242" s="15"/>
      <c r="C242" s="14"/>
      <c r="D242" s="14"/>
      <c r="E242" s="15"/>
      <c r="F242" s="14"/>
      <c r="G242" s="14"/>
      <c r="H242" s="14"/>
      <c r="I242" s="15"/>
      <c r="J242" s="14"/>
      <c r="K242" s="15"/>
      <c r="L242" s="16"/>
      <c r="M242" s="17"/>
      <c r="N242" s="16"/>
      <c r="O242" s="16"/>
      <c r="P242" s="18"/>
      <c r="Q242" s="16"/>
      <c r="R242" s="18"/>
      <c r="S242" s="16"/>
      <c r="T242" s="16"/>
      <c r="U242" s="16"/>
      <c r="V242" s="16"/>
      <c r="W242" s="16"/>
      <c r="X242" s="16"/>
      <c r="Y242" s="16"/>
      <c r="Z242" s="16"/>
      <c r="AA242" s="18"/>
      <c r="AB242" s="18"/>
      <c r="AC242" s="18"/>
      <c r="AD242" s="18"/>
      <c r="AE242" s="18"/>
      <c r="AF242" s="19" t="str">
        <f aca="false">IF($B242="","",IF(AND(Consulta!$B$11="Sim",$L242&lt;&gt;"Sim"),-9999,IF($H242=Consulta!$B$5,-9999,IF(AND(Consulta!$B$3&lt;&gt;"Qualquer",ISNUMBER(SEARCH(Consulta!$B$3,$AA242))),-9999,IF(AND(Consulta!$B$10="Sim",$V242&lt;&gt;"Sim"),-9999,IF(OR(Consulta!$B$3="Qualquer",ISNUMBER(SEARCH(Consulta!$B$3,$P242))),3,0)+IF(OR(Consulta!$B$12="Qualquer",ISNUMBER(SEARCH(Consulta!$B$12,$Q242))),2,0)+IF(OR(Consulta!$B$4="Qualquer",ISNUMBER(SEARCH(Consulta!$B$4,$R242))),3,0)+IF(Consulta!$B$6="Qualquer",0,IF($O242=Consulta!$B$6,2,-1))+IF(Consulta!$B$7="Não",0,IF($U242="Sim",3,IF($U242="Não",-6,0)))+IF(Consulta!$B$8="Qualquer",0,IF($C242=Consulta!$B$8,2,-3))+IF(Consulta!$B$9="Qualquer",0,IF($D242=Consulta!$B$9,2,-1))+IF($N242="",0,$N242)-ROW()/100000)))))</f>
        <v/>
      </c>
    </row>
    <row r="243" customFormat="false" ht="15" hidden="false" customHeight="false" outlineLevel="0" collapsed="false">
      <c r="A243" s="14"/>
      <c r="B243" s="15"/>
      <c r="C243" s="14"/>
      <c r="D243" s="14"/>
      <c r="E243" s="15"/>
      <c r="F243" s="14"/>
      <c r="G243" s="14"/>
      <c r="H243" s="14"/>
      <c r="I243" s="15"/>
      <c r="J243" s="14"/>
      <c r="K243" s="15"/>
      <c r="L243" s="16"/>
      <c r="M243" s="17"/>
      <c r="N243" s="16"/>
      <c r="O243" s="16"/>
      <c r="P243" s="18"/>
      <c r="Q243" s="16"/>
      <c r="R243" s="18"/>
      <c r="S243" s="16"/>
      <c r="T243" s="16"/>
      <c r="U243" s="16"/>
      <c r="V243" s="16"/>
      <c r="W243" s="16"/>
      <c r="X243" s="16"/>
      <c r="Y243" s="16"/>
      <c r="Z243" s="16"/>
      <c r="AA243" s="18"/>
      <c r="AB243" s="18"/>
      <c r="AC243" s="18"/>
      <c r="AD243" s="18"/>
      <c r="AE243" s="18"/>
      <c r="AF243" s="19" t="str">
        <f aca="false">IF($B243="","",IF(AND(Consulta!$B$11="Sim",$L243&lt;&gt;"Sim"),-9999,IF($H243=Consulta!$B$5,-9999,IF(AND(Consulta!$B$3&lt;&gt;"Qualquer",ISNUMBER(SEARCH(Consulta!$B$3,$AA243))),-9999,IF(AND(Consulta!$B$10="Sim",$V243&lt;&gt;"Sim"),-9999,IF(OR(Consulta!$B$3="Qualquer",ISNUMBER(SEARCH(Consulta!$B$3,$P243))),3,0)+IF(OR(Consulta!$B$12="Qualquer",ISNUMBER(SEARCH(Consulta!$B$12,$Q243))),2,0)+IF(OR(Consulta!$B$4="Qualquer",ISNUMBER(SEARCH(Consulta!$B$4,$R243))),3,0)+IF(Consulta!$B$6="Qualquer",0,IF($O243=Consulta!$B$6,2,-1))+IF(Consulta!$B$7="Não",0,IF($U243="Sim",3,IF($U243="Não",-6,0)))+IF(Consulta!$B$8="Qualquer",0,IF($C243=Consulta!$B$8,2,-3))+IF(Consulta!$B$9="Qualquer",0,IF($D243=Consulta!$B$9,2,-1))+IF($N243="",0,$N243)-ROW()/100000)))))</f>
        <v/>
      </c>
    </row>
    <row r="244" customFormat="false" ht="15" hidden="false" customHeight="false" outlineLevel="0" collapsed="false">
      <c r="A244" s="14"/>
      <c r="B244" s="15"/>
      <c r="C244" s="14"/>
      <c r="D244" s="14"/>
      <c r="E244" s="15"/>
      <c r="F244" s="14"/>
      <c r="G244" s="14"/>
      <c r="H244" s="14"/>
      <c r="I244" s="15"/>
      <c r="J244" s="14"/>
      <c r="K244" s="15"/>
      <c r="L244" s="16"/>
      <c r="M244" s="17"/>
      <c r="N244" s="16"/>
      <c r="O244" s="16"/>
      <c r="P244" s="18"/>
      <c r="Q244" s="16"/>
      <c r="R244" s="18"/>
      <c r="S244" s="16"/>
      <c r="T244" s="16"/>
      <c r="U244" s="16"/>
      <c r="V244" s="16"/>
      <c r="W244" s="16"/>
      <c r="X244" s="16"/>
      <c r="Y244" s="16"/>
      <c r="Z244" s="16"/>
      <c r="AA244" s="18"/>
      <c r="AB244" s="18"/>
      <c r="AC244" s="18"/>
      <c r="AD244" s="18"/>
      <c r="AE244" s="18"/>
      <c r="AF244" s="19" t="str">
        <f aca="false">IF($B244="","",IF(AND(Consulta!$B$11="Sim",$L244&lt;&gt;"Sim"),-9999,IF($H244=Consulta!$B$5,-9999,IF(AND(Consulta!$B$3&lt;&gt;"Qualquer",ISNUMBER(SEARCH(Consulta!$B$3,$AA244))),-9999,IF(AND(Consulta!$B$10="Sim",$V244&lt;&gt;"Sim"),-9999,IF(OR(Consulta!$B$3="Qualquer",ISNUMBER(SEARCH(Consulta!$B$3,$P244))),3,0)+IF(OR(Consulta!$B$12="Qualquer",ISNUMBER(SEARCH(Consulta!$B$12,$Q244))),2,0)+IF(OR(Consulta!$B$4="Qualquer",ISNUMBER(SEARCH(Consulta!$B$4,$R244))),3,0)+IF(Consulta!$B$6="Qualquer",0,IF($O244=Consulta!$B$6,2,-1))+IF(Consulta!$B$7="Não",0,IF($U244="Sim",3,IF($U244="Não",-6,0)))+IF(Consulta!$B$8="Qualquer",0,IF($C244=Consulta!$B$8,2,-3))+IF(Consulta!$B$9="Qualquer",0,IF($D244=Consulta!$B$9,2,-1))+IF($N244="",0,$N244)-ROW()/100000)))))</f>
        <v/>
      </c>
    </row>
    <row r="245" customFormat="false" ht="15" hidden="false" customHeight="false" outlineLevel="0" collapsed="false">
      <c r="A245" s="14"/>
      <c r="B245" s="15"/>
      <c r="C245" s="14"/>
      <c r="D245" s="14"/>
      <c r="E245" s="15"/>
      <c r="F245" s="14"/>
      <c r="G245" s="14"/>
      <c r="H245" s="14"/>
      <c r="I245" s="15"/>
      <c r="J245" s="14"/>
      <c r="K245" s="15"/>
      <c r="L245" s="16"/>
      <c r="M245" s="17"/>
      <c r="N245" s="16"/>
      <c r="O245" s="16"/>
      <c r="P245" s="18"/>
      <c r="Q245" s="16"/>
      <c r="R245" s="18"/>
      <c r="S245" s="16"/>
      <c r="T245" s="16"/>
      <c r="U245" s="16"/>
      <c r="V245" s="16"/>
      <c r="W245" s="16"/>
      <c r="X245" s="16"/>
      <c r="Y245" s="16"/>
      <c r="Z245" s="16"/>
      <c r="AA245" s="18"/>
      <c r="AB245" s="18"/>
      <c r="AC245" s="18"/>
      <c r="AD245" s="18"/>
      <c r="AE245" s="18"/>
      <c r="AF245" s="19" t="str">
        <f aca="false">IF($B245="","",IF(AND(Consulta!$B$11="Sim",$L245&lt;&gt;"Sim"),-9999,IF($H245=Consulta!$B$5,-9999,IF(AND(Consulta!$B$3&lt;&gt;"Qualquer",ISNUMBER(SEARCH(Consulta!$B$3,$AA245))),-9999,IF(AND(Consulta!$B$10="Sim",$V245&lt;&gt;"Sim"),-9999,IF(OR(Consulta!$B$3="Qualquer",ISNUMBER(SEARCH(Consulta!$B$3,$P245))),3,0)+IF(OR(Consulta!$B$12="Qualquer",ISNUMBER(SEARCH(Consulta!$B$12,$Q245))),2,0)+IF(OR(Consulta!$B$4="Qualquer",ISNUMBER(SEARCH(Consulta!$B$4,$R245))),3,0)+IF(Consulta!$B$6="Qualquer",0,IF($O245=Consulta!$B$6,2,-1))+IF(Consulta!$B$7="Não",0,IF($U245="Sim",3,IF($U245="Não",-6,0)))+IF(Consulta!$B$8="Qualquer",0,IF($C245=Consulta!$B$8,2,-3))+IF(Consulta!$B$9="Qualquer",0,IF($D245=Consulta!$B$9,2,-1))+IF($N245="",0,$N245)-ROW()/100000)))))</f>
        <v/>
      </c>
    </row>
    <row r="246" customFormat="false" ht="15" hidden="false" customHeight="false" outlineLevel="0" collapsed="false">
      <c r="A246" s="14"/>
      <c r="B246" s="15"/>
      <c r="C246" s="14"/>
      <c r="D246" s="14"/>
      <c r="E246" s="15"/>
      <c r="F246" s="14"/>
      <c r="G246" s="14"/>
      <c r="H246" s="14"/>
      <c r="I246" s="15"/>
      <c r="J246" s="14"/>
      <c r="K246" s="15"/>
      <c r="L246" s="16"/>
      <c r="M246" s="17"/>
      <c r="N246" s="16"/>
      <c r="O246" s="16"/>
      <c r="P246" s="18"/>
      <c r="Q246" s="16"/>
      <c r="R246" s="18"/>
      <c r="S246" s="16"/>
      <c r="T246" s="16"/>
      <c r="U246" s="16"/>
      <c r="V246" s="16"/>
      <c r="W246" s="16"/>
      <c r="X246" s="16"/>
      <c r="Y246" s="16"/>
      <c r="Z246" s="16"/>
      <c r="AA246" s="18"/>
      <c r="AB246" s="18"/>
      <c r="AC246" s="18"/>
      <c r="AD246" s="18"/>
      <c r="AE246" s="18"/>
      <c r="AF246" s="19" t="str">
        <f aca="false">IF($B246="","",IF(AND(Consulta!$B$11="Sim",$L246&lt;&gt;"Sim"),-9999,IF($H246=Consulta!$B$5,-9999,IF(AND(Consulta!$B$3&lt;&gt;"Qualquer",ISNUMBER(SEARCH(Consulta!$B$3,$AA246))),-9999,IF(AND(Consulta!$B$10="Sim",$V246&lt;&gt;"Sim"),-9999,IF(OR(Consulta!$B$3="Qualquer",ISNUMBER(SEARCH(Consulta!$B$3,$P246))),3,0)+IF(OR(Consulta!$B$12="Qualquer",ISNUMBER(SEARCH(Consulta!$B$12,$Q246))),2,0)+IF(OR(Consulta!$B$4="Qualquer",ISNUMBER(SEARCH(Consulta!$B$4,$R246))),3,0)+IF(Consulta!$B$6="Qualquer",0,IF($O246=Consulta!$B$6,2,-1))+IF(Consulta!$B$7="Não",0,IF($U246="Sim",3,IF($U246="Não",-6,0)))+IF(Consulta!$B$8="Qualquer",0,IF($C246=Consulta!$B$8,2,-3))+IF(Consulta!$B$9="Qualquer",0,IF($D246=Consulta!$B$9,2,-1))+IF($N246="",0,$N246)-ROW()/100000)))))</f>
        <v/>
      </c>
    </row>
    <row r="247" customFormat="false" ht="15" hidden="false" customHeight="false" outlineLevel="0" collapsed="false">
      <c r="A247" s="14"/>
      <c r="B247" s="15"/>
      <c r="C247" s="14"/>
      <c r="D247" s="14"/>
      <c r="E247" s="15"/>
      <c r="F247" s="14"/>
      <c r="G247" s="14"/>
      <c r="H247" s="14"/>
      <c r="I247" s="15"/>
      <c r="J247" s="14"/>
      <c r="K247" s="15"/>
      <c r="L247" s="16"/>
      <c r="M247" s="17"/>
      <c r="N247" s="16"/>
      <c r="O247" s="16"/>
      <c r="P247" s="18"/>
      <c r="Q247" s="16"/>
      <c r="R247" s="18"/>
      <c r="S247" s="16"/>
      <c r="T247" s="16"/>
      <c r="U247" s="16"/>
      <c r="V247" s="16"/>
      <c r="W247" s="16"/>
      <c r="X247" s="16"/>
      <c r="Y247" s="16"/>
      <c r="Z247" s="16"/>
      <c r="AA247" s="18"/>
      <c r="AB247" s="18"/>
      <c r="AC247" s="18"/>
      <c r="AD247" s="18"/>
      <c r="AE247" s="18"/>
      <c r="AF247" s="19" t="str">
        <f aca="false">IF($B247="","",IF(AND(Consulta!$B$11="Sim",$L247&lt;&gt;"Sim"),-9999,IF($H247=Consulta!$B$5,-9999,IF(AND(Consulta!$B$3&lt;&gt;"Qualquer",ISNUMBER(SEARCH(Consulta!$B$3,$AA247))),-9999,IF(AND(Consulta!$B$10="Sim",$V247&lt;&gt;"Sim"),-9999,IF(OR(Consulta!$B$3="Qualquer",ISNUMBER(SEARCH(Consulta!$B$3,$P247))),3,0)+IF(OR(Consulta!$B$12="Qualquer",ISNUMBER(SEARCH(Consulta!$B$12,$Q247))),2,0)+IF(OR(Consulta!$B$4="Qualquer",ISNUMBER(SEARCH(Consulta!$B$4,$R247))),3,0)+IF(Consulta!$B$6="Qualquer",0,IF($O247=Consulta!$B$6,2,-1))+IF(Consulta!$B$7="Não",0,IF($U247="Sim",3,IF($U247="Não",-6,0)))+IF(Consulta!$B$8="Qualquer",0,IF($C247=Consulta!$B$8,2,-3))+IF(Consulta!$B$9="Qualquer",0,IF($D247=Consulta!$B$9,2,-1))+IF($N247="",0,$N247)-ROW()/100000)))))</f>
        <v/>
      </c>
    </row>
    <row r="248" customFormat="false" ht="15" hidden="false" customHeight="false" outlineLevel="0" collapsed="false">
      <c r="A248" s="14"/>
      <c r="B248" s="15"/>
      <c r="C248" s="14"/>
      <c r="D248" s="14"/>
      <c r="E248" s="15"/>
      <c r="F248" s="14"/>
      <c r="G248" s="14"/>
      <c r="H248" s="14"/>
      <c r="I248" s="15"/>
      <c r="J248" s="14"/>
      <c r="K248" s="15"/>
      <c r="L248" s="16"/>
      <c r="M248" s="17"/>
      <c r="N248" s="16"/>
      <c r="O248" s="16"/>
      <c r="P248" s="18"/>
      <c r="Q248" s="16"/>
      <c r="R248" s="18"/>
      <c r="S248" s="16"/>
      <c r="T248" s="16"/>
      <c r="U248" s="16"/>
      <c r="V248" s="16"/>
      <c r="W248" s="16"/>
      <c r="X248" s="16"/>
      <c r="Y248" s="16"/>
      <c r="Z248" s="16"/>
      <c r="AA248" s="18"/>
      <c r="AB248" s="18"/>
      <c r="AC248" s="18"/>
      <c r="AD248" s="18"/>
      <c r="AE248" s="18"/>
      <c r="AF248" s="19" t="str">
        <f aca="false">IF($B248="","",IF(AND(Consulta!$B$11="Sim",$L248&lt;&gt;"Sim"),-9999,IF($H248=Consulta!$B$5,-9999,IF(AND(Consulta!$B$3&lt;&gt;"Qualquer",ISNUMBER(SEARCH(Consulta!$B$3,$AA248))),-9999,IF(AND(Consulta!$B$10="Sim",$V248&lt;&gt;"Sim"),-9999,IF(OR(Consulta!$B$3="Qualquer",ISNUMBER(SEARCH(Consulta!$B$3,$P248))),3,0)+IF(OR(Consulta!$B$12="Qualquer",ISNUMBER(SEARCH(Consulta!$B$12,$Q248))),2,0)+IF(OR(Consulta!$B$4="Qualquer",ISNUMBER(SEARCH(Consulta!$B$4,$R248))),3,0)+IF(Consulta!$B$6="Qualquer",0,IF($O248=Consulta!$B$6,2,-1))+IF(Consulta!$B$7="Não",0,IF($U248="Sim",3,IF($U248="Não",-6,0)))+IF(Consulta!$B$8="Qualquer",0,IF($C248=Consulta!$B$8,2,-3))+IF(Consulta!$B$9="Qualquer",0,IF($D248=Consulta!$B$9,2,-1))+IF($N248="",0,$N248)-ROW()/100000)))))</f>
        <v/>
      </c>
    </row>
    <row r="249" customFormat="false" ht="15" hidden="false" customHeight="false" outlineLevel="0" collapsed="false">
      <c r="A249" s="14"/>
      <c r="B249" s="15"/>
      <c r="C249" s="14"/>
      <c r="D249" s="14"/>
      <c r="E249" s="15"/>
      <c r="F249" s="14"/>
      <c r="G249" s="14"/>
      <c r="H249" s="14"/>
      <c r="I249" s="15"/>
      <c r="J249" s="14"/>
      <c r="K249" s="15"/>
      <c r="L249" s="16"/>
      <c r="M249" s="17"/>
      <c r="N249" s="16"/>
      <c r="O249" s="16"/>
      <c r="P249" s="18"/>
      <c r="Q249" s="16"/>
      <c r="R249" s="18"/>
      <c r="S249" s="16"/>
      <c r="T249" s="16"/>
      <c r="U249" s="16"/>
      <c r="V249" s="16"/>
      <c r="W249" s="16"/>
      <c r="X249" s="16"/>
      <c r="Y249" s="16"/>
      <c r="Z249" s="16"/>
      <c r="AA249" s="18"/>
      <c r="AB249" s="18"/>
      <c r="AC249" s="18"/>
      <c r="AD249" s="18"/>
      <c r="AE249" s="18"/>
      <c r="AF249" s="19" t="str">
        <f aca="false">IF($B249="","",IF(AND(Consulta!$B$11="Sim",$L249&lt;&gt;"Sim"),-9999,IF($H249=Consulta!$B$5,-9999,IF(AND(Consulta!$B$3&lt;&gt;"Qualquer",ISNUMBER(SEARCH(Consulta!$B$3,$AA249))),-9999,IF(AND(Consulta!$B$10="Sim",$V249&lt;&gt;"Sim"),-9999,IF(OR(Consulta!$B$3="Qualquer",ISNUMBER(SEARCH(Consulta!$B$3,$P249))),3,0)+IF(OR(Consulta!$B$12="Qualquer",ISNUMBER(SEARCH(Consulta!$B$12,$Q249))),2,0)+IF(OR(Consulta!$B$4="Qualquer",ISNUMBER(SEARCH(Consulta!$B$4,$R249))),3,0)+IF(Consulta!$B$6="Qualquer",0,IF($O249=Consulta!$B$6,2,-1))+IF(Consulta!$B$7="Não",0,IF($U249="Sim",3,IF($U249="Não",-6,0)))+IF(Consulta!$B$8="Qualquer",0,IF($C249=Consulta!$B$8,2,-3))+IF(Consulta!$B$9="Qualquer",0,IF($D249=Consulta!$B$9,2,-1))+IF($N249="",0,$N249)-ROW()/100000)))))</f>
        <v/>
      </c>
    </row>
    <row r="250" customFormat="false" ht="15" hidden="false" customHeight="false" outlineLevel="0" collapsed="false">
      <c r="A250" s="14"/>
      <c r="B250" s="15"/>
      <c r="C250" s="14"/>
      <c r="D250" s="14"/>
      <c r="E250" s="15"/>
      <c r="F250" s="14"/>
      <c r="G250" s="14"/>
      <c r="H250" s="14"/>
      <c r="I250" s="15"/>
      <c r="J250" s="14"/>
      <c r="K250" s="15"/>
      <c r="L250" s="16"/>
      <c r="M250" s="17"/>
      <c r="N250" s="16"/>
      <c r="O250" s="16"/>
      <c r="P250" s="18"/>
      <c r="Q250" s="16"/>
      <c r="R250" s="18"/>
      <c r="S250" s="16"/>
      <c r="T250" s="16"/>
      <c r="U250" s="16"/>
      <c r="V250" s="16"/>
      <c r="W250" s="16"/>
      <c r="X250" s="16"/>
      <c r="Y250" s="16"/>
      <c r="Z250" s="16"/>
      <c r="AA250" s="18"/>
      <c r="AB250" s="18"/>
      <c r="AC250" s="18"/>
      <c r="AD250" s="18"/>
      <c r="AE250" s="18"/>
      <c r="AF250" s="19" t="str">
        <f aca="false">IF($B250="","",IF(AND(Consulta!$B$11="Sim",$L250&lt;&gt;"Sim"),-9999,IF($H250=Consulta!$B$5,-9999,IF(AND(Consulta!$B$3&lt;&gt;"Qualquer",ISNUMBER(SEARCH(Consulta!$B$3,$AA250))),-9999,IF(AND(Consulta!$B$10="Sim",$V250&lt;&gt;"Sim"),-9999,IF(OR(Consulta!$B$3="Qualquer",ISNUMBER(SEARCH(Consulta!$B$3,$P250))),3,0)+IF(OR(Consulta!$B$12="Qualquer",ISNUMBER(SEARCH(Consulta!$B$12,$Q250))),2,0)+IF(OR(Consulta!$B$4="Qualquer",ISNUMBER(SEARCH(Consulta!$B$4,$R250))),3,0)+IF(Consulta!$B$6="Qualquer",0,IF($O250=Consulta!$B$6,2,-1))+IF(Consulta!$B$7="Não",0,IF($U250="Sim",3,IF($U250="Não",-6,0)))+IF(Consulta!$B$8="Qualquer",0,IF($C250=Consulta!$B$8,2,-3))+IF(Consulta!$B$9="Qualquer",0,IF($D250=Consulta!$B$9,2,-1))+IF($N250="",0,$N250)-ROW()/100000)))))</f>
        <v/>
      </c>
    </row>
    <row r="251" customFormat="false" ht="15" hidden="false" customHeight="false" outlineLevel="0" collapsed="false">
      <c r="A251" s="14"/>
      <c r="B251" s="15"/>
      <c r="C251" s="14"/>
      <c r="D251" s="14"/>
      <c r="E251" s="15"/>
      <c r="F251" s="14"/>
      <c r="G251" s="14"/>
      <c r="H251" s="14"/>
      <c r="I251" s="15"/>
      <c r="J251" s="14"/>
      <c r="K251" s="15"/>
      <c r="L251" s="16"/>
      <c r="M251" s="17"/>
      <c r="N251" s="16"/>
      <c r="O251" s="16"/>
      <c r="P251" s="18"/>
      <c r="Q251" s="16"/>
      <c r="R251" s="18"/>
      <c r="S251" s="16"/>
      <c r="T251" s="16"/>
      <c r="U251" s="16"/>
      <c r="V251" s="16"/>
      <c r="W251" s="16"/>
      <c r="X251" s="16"/>
      <c r="Y251" s="16"/>
      <c r="Z251" s="16"/>
      <c r="AA251" s="18"/>
      <c r="AB251" s="18"/>
      <c r="AC251" s="18"/>
      <c r="AD251" s="18"/>
      <c r="AE251" s="18"/>
      <c r="AF251" s="19" t="str">
        <f aca="false">IF($B251="","",IF(AND(Consulta!$B$11="Sim",$L251&lt;&gt;"Sim"),-9999,IF($H251=Consulta!$B$5,-9999,IF(AND(Consulta!$B$3&lt;&gt;"Qualquer",ISNUMBER(SEARCH(Consulta!$B$3,$AA251))),-9999,IF(AND(Consulta!$B$10="Sim",$V251&lt;&gt;"Sim"),-9999,IF(OR(Consulta!$B$3="Qualquer",ISNUMBER(SEARCH(Consulta!$B$3,$P251))),3,0)+IF(OR(Consulta!$B$12="Qualquer",ISNUMBER(SEARCH(Consulta!$B$12,$Q251))),2,0)+IF(OR(Consulta!$B$4="Qualquer",ISNUMBER(SEARCH(Consulta!$B$4,$R251))),3,0)+IF(Consulta!$B$6="Qualquer",0,IF($O251=Consulta!$B$6,2,-1))+IF(Consulta!$B$7="Não",0,IF($U251="Sim",3,IF($U251="Não",-6,0)))+IF(Consulta!$B$8="Qualquer",0,IF($C251=Consulta!$B$8,2,-3))+IF(Consulta!$B$9="Qualquer",0,IF($D251=Consulta!$B$9,2,-1))+IF($N251="",0,$N251)-ROW()/100000)))))</f>
        <v/>
      </c>
    </row>
    <row r="252" customFormat="false" ht="15" hidden="false" customHeight="false" outlineLevel="0" collapsed="false">
      <c r="A252" s="14"/>
      <c r="B252" s="15"/>
      <c r="C252" s="14"/>
      <c r="D252" s="14"/>
      <c r="E252" s="15"/>
      <c r="F252" s="14"/>
      <c r="G252" s="14"/>
      <c r="H252" s="14"/>
      <c r="I252" s="15"/>
      <c r="J252" s="14"/>
      <c r="K252" s="15"/>
      <c r="L252" s="16"/>
      <c r="M252" s="17"/>
      <c r="N252" s="16"/>
      <c r="O252" s="16"/>
      <c r="P252" s="18"/>
      <c r="Q252" s="16"/>
      <c r="R252" s="18"/>
      <c r="S252" s="16"/>
      <c r="T252" s="16"/>
      <c r="U252" s="16"/>
      <c r="V252" s="16"/>
      <c r="W252" s="16"/>
      <c r="X252" s="16"/>
      <c r="Y252" s="16"/>
      <c r="Z252" s="16"/>
      <c r="AA252" s="18"/>
      <c r="AB252" s="18"/>
      <c r="AC252" s="18"/>
      <c r="AD252" s="18"/>
      <c r="AE252" s="18"/>
      <c r="AF252" s="19" t="str">
        <f aca="false">IF($B252="","",IF(AND(Consulta!$B$11="Sim",$L252&lt;&gt;"Sim"),-9999,IF($H252=Consulta!$B$5,-9999,IF(AND(Consulta!$B$3&lt;&gt;"Qualquer",ISNUMBER(SEARCH(Consulta!$B$3,$AA252))),-9999,IF(AND(Consulta!$B$10="Sim",$V252&lt;&gt;"Sim"),-9999,IF(OR(Consulta!$B$3="Qualquer",ISNUMBER(SEARCH(Consulta!$B$3,$P252))),3,0)+IF(OR(Consulta!$B$12="Qualquer",ISNUMBER(SEARCH(Consulta!$B$12,$Q252))),2,0)+IF(OR(Consulta!$B$4="Qualquer",ISNUMBER(SEARCH(Consulta!$B$4,$R252))),3,0)+IF(Consulta!$B$6="Qualquer",0,IF($O252=Consulta!$B$6,2,-1))+IF(Consulta!$B$7="Não",0,IF($U252="Sim",3,IF($U252="Não",-6,0)))+IF(Consulta!$B$8="Qualquer",0,IF($C252=Consulta!$B$8,2,-3))+IF(Consulta!$B$9="Qualquer",0,IF($D252=Consulta!$B$9,2,-1))+IF($N252="",0,$N252)-ROW()/100000)))))</f>
        <v/>
      </c>
    </row>
    <row r="253" customFormat="false" ht="15" hidden="false" customHeight="false" outlineLevel="0" collapsed="false">
      <c r="A253" s="14"/>
      <c r="B253" s="15"/>
      <c r="C253" s="14"/>
      <c r="D253" s="14"/>
      <c r="E253" s="15"/>
      <c r="F253" s="14"/>
      <c r="G253" s="14"/>
      <c r="H253" s="14"/>
      <c r="I253" s="15"/>
      <c r="J253" s="14"/>
      <c r="K253" s="15"/>
      <c r="L253" s="16"/>
      <c r="M253" s="17"/>
      <c r="N253" s="16"/>
      <c r="O253" s="16"/>
      <c r="P253" s="18"/>
      <c r="Q253" s="16"/>
      <c r="R253" s="18"/>
      <c r="S253" s="16"/>
      <c r="T253" s="16"/>
      <c r="U253" s="16"/>
      <c r="V253" s="16"/>
      <c r="W253" s="16"/>
      <c r="X253" s="16"/>
      <c r="Y253" s="16"/>
      <c r="Z253" s="16"/>
      <c r="AA253" s="18"/>
      <c r="AB253" s="18"/>
      <c r="AC253" s="18"/>
      <c r="AD253" s="18"/>
      <c r="AE253" s="18"/>
      <c r="AF253" s="19" t="str">
        <f aca="false">IF($B253="","",IF(AND(Consulta!$B$11="Sim",$L253&lt;&gt;"Sim"),-9999,IF($H253=Consulta!$B$5,-9999,IF(AND(Consulta!$B$3&lt;&gt;"Qualquer",ISNUMBER(SEARCH(Consulta!$B$3,$AA253))),-9999,IF(AND(Consulta!$B$10="Sim",$V253&lt;&gt;"Sim"),-9999,IF(OR(Consulta!$B$3="Qualquer",ISNUMBER(SEARCH(Consulta!$B$3,$P253))),3,0)+IF(OR(Consulta!$B$12="Qualquer",ISNUMBER(SEARCH(Consulta!$B$12,$Q253))),2,0)+IF(OR(Consulta!$B$4="Qualquer",ISNUMBER(SEARCH(Consulta!$B$4,$R253))),3,0)+IF(Consulta!$B$6="Qualquer",0,IF($O253=Consulta!$B$6,2,-1))+IF(Consulta!$B$7="Não",0,IF($U253="Sim",3,IF($U253="Não",-6,0)))+IF(Consulta!$B$8="Qualquer",0,IF($C253=Consulta!$B$8,2,-3))+IF(Consulta!$B$9="Qualquer",0,IF($D253=Consulta!$B$9,2,-1))+IF($N253="",0,$N253)-ROW()/100000)))))</f>
        <v/>
      </c>
    </row>
    <row r="254" customFormat="false" ht="15" hidden="false" customHeight="false" outlineLevel="0" collapsed="false">
      <c r="A254" s="14"/>
      <c r="B254" s="15"/>
      <c r="C254" s="14"/>
      <c r="D254" s="14"/>
      <c r="E254" s="15"/>
      <c r="F254" s="14"/>
      <c r="G254" s="14"/>
      <c r="H254" s="14"/>
      <c r="I254" s="15"/>
      <c r="J254" s="14"/>
      <c r="K254" s="15"/>
      <c r="L254" s="16"/>
      <c r="M254" s="17"/>
      <c r="N254" s="16"/>
      <c r="O254" s="16"/>
      <c r="P254" s="18"/>
      <c r="Q254" s="16"/>
      <c r="R254" s="18"/>
      <c r="S254" s="16"/>
      <c r="T254" s="16"/>
      <c r="U254" s="16"/>
      <c r="V254" s="16"/>
      <c r="W254" s="16"/>
      <c r="X254" s="16"/>
      <c r="Y254" s="16"/>
      <c r="Z254" s="16"/>
      <c r="AA254" s="18"/>
      <c r="AB254" s="18"/>
      <c r="AC254" s="18"/>
      <c r="AD254" s="18"/>
      <c r="AE254" s="18"/>
      <c r="AF254" s="19" t="str">
        <f aca="false">IF($B254="","",IF(AND(Consulta!$B$11="Sim",$L254&lt;&gt;"Sim"),-9999,IF($H254=Consulta!$B$5,-9999,IF(AND(Consulta!$B$3&lt;&gt;"Qualquer",ISNUMBER(SEARCH(Consulta!$B$3,$AA254))),-9999,IF(AND(Consulta!$B$10="Sim",$V254&lt;&gt;"Sim"),-9999,IF(OR(Consulta!$B$3="Qualquer",ISNUMBER(SEARCH(Consulta!$B$3,$P254))),3,0)+IF(OR(Consulta!$B$12="Qualquer",ISNUMBER(SEARCH(Consulta!$B$12,$Q254))),2,0)+IF(OR(Consulta!$B$4="Qualquer",ISNUMBER(SEARCH(Consulta!$B$4,$R254))),3,0)+IF(Consulta!$B$6="Qualquer",0,IF($O254=Consulta!$B$6,2,-1))+IF(Consulta!$B$7="Não",0,IF($U254="Sim",3,IF($U254="Não",-6,0)))+IF(Consulta!$B$8="Qualquer",0,IF($C254=Consulta!$B$8,2,-3))+IF(Consulta!$B$9="Qualquer",0,IF($D254=Consulta!$B$9,2,-1))+IF($N254="",0,$N254)-ROW()/100000)))))</f>
        <v/>
      </c>
    </row>
    <row r="255" customFormat="false" ht="15" hidden="false" customHeight="false" outlineLevel="0" collapsed="false">
      <c r="A255" s="14"/>
      <c r="B255" s="15"/>
      <c r="C255" s="14"/>
      <c r="D255" s="14"/>
      <c r="E255" s="15"/>
      <c r="F255" s="14"/>
      <c r="G255" s="14"/>
      <c r="H255" s="14"/>
      <c r="I255" s="15"/>
      <c r="J255" s="14"/>
      <c r="K255" s="15"/>
      <c r="L255" s="16"/>
      <c r="M255" s="17"/>
      <c r="N255" s="16"/>
      <c r="O255" s="16"/>
      <c r="P255" s="18"/>
      <c r="Q255" s="16"/>
      <c r="R255" s="18"/>
      <c r="S255" s="16"/>
      <c r="T255" s="16"/>
      <c r="U255" s="16"/>
      <c r="V255" s="16"/>
      <c r="W255" s="16"/>
      <c r="X255" s="16"/>
      <c r="Y255" s="16"/>
      <c r="Z255" s="16"/>
      <c r="AA255" s="18"/>
      <c r="AB255" s="18"/>
      <c r="AC255" s="18"/>
      <c r="AD255" s="18"/>
      <c r="AE255" s="18"/>
      <c r="AF255" s="19" t="str">
        <f aca="false">IF($B255="","",IF(AND(Consulta!$B$11="Sim",$L255&lt;&gt;"Sim"),-9999,IF($H255=Consulta!$B$5,-9999,IF(AND(Consulta!$B$3&lt;&gt;"Qualquer",ISNUMBER(SEARCH(Consulta!$B$3,$AA255))),-9999,IF(AND(Consulta!$B$10="Sim",$V255&lt;&gt;"Sim"),-9999,IF(OR(Consulta!$B$3="Qualquer",ISNUMBER(SEARCH(Consulta!$B$3,$P255))),3,0)+IF(OR(Consulta!$B$12="Qualquer",ISNUMBER(SEARCH(Consulta!$B$12,$Q255))),2,0)+IF(OR(Consulta!$B$4="Qualquer",ISNUMBER(SEARCH(Consulta!$B$4,$R255))),3,0)+IF(Consulta!$B$6="Qualquer",0,IF($O255=Consulta!$B$6,2,-1))+IF(Consulta!$B$7="Não",0,IF($U255="Sim",3,IF($U255="Não",-6,0)))+IF(Consulta!$B$8="Qualquer",0,IF($C255=Consulta!$B$8,2,-3))+IF(Consulta!$B$9="Qualquer",0,IF($D255=Consulta!$B$9,2,-1))+IF($N255="",0,$N255)-ROW()/100000)))))</f>
        <v/>
      </c>
    </row>
    <row r="256" customFormat="false" ht="15" hidden="false" customHeight="false" outlineLevel="0" collapsed="false">
      <c r="A256" s="14"/>
      <c r="B256" s="15"/>
      <c r="C256" s="14"/>
      <c r="D256" s="14"/>
      <c r="E256" s="15"/>
      <c r="F256" s="14"/>
      <c r="G256" s="14"/>
      <c r="H256" s="14"/>
      <c r="I256" s="15"/>
      <c r="J256" s="14"/>
      <c r="K256" s="15"/>
      <c r="L256" s="16"/>
      <c r="M256" s="17"/>
      <c r="N256" s="16"/>
      <c r="O256" s="16"/>
      <c r="P256" s="18"/>
      <c r="Q256" s="16"/>
      <c r="R256" s="18"/>
      <c r="S256" s="16"/>
      <c r="T256" s="16"/>
      <c r="U256" s="16"/>
      <c r="V256" s="16"/>
      <c r="W256" s="16"/>
      <c r="X256" s="16"/>
      <c r="Y256" s="16"/>
      <c r="Z256" s="16"/>
      <c r="AA256" s="18"/>
      <c r="AB256" s="18"/>
      <c r="AC256" s="18"/>
      <c r="AD256" s="18"/>
      <c r="AE256" s="18"/>
      <c r="AF256" s="19" t="str">
        <f aca="false">IF($B256="","",IF(AND(Consulta!$B$11="Sim",$L256&lt;&gt;"Sim"),-9999,IF($H256=Consulta!$B$5,-9999,IF(AND(Consulta!$B$3&lt;&gt;"Qualquer",ISNUMBER(SEARCH(Consulta!$B$3,$AA256))),-9999,IF(AND(Consulta!$B$10="Sim",$V256&lt;&gt;"Sim"),-9999,IF(OR(Consulta!$B$3="Qualquer",ISNUMBER(SEARCH(Consulta!$B$3,$P256))),3,0)+IF(OR(Consulta!$B$12="Qualquer",ISNUMBER(SEARCH(Consulta!$B$12,$Q256))),2,0)+IF(OR(Consulta!$B$4="Qualquer",ISNUMBER(SEARCH(Consulta!$B$4,$R256))),3,0)+IF(Consulta!$B$6="Qualquer",0,IF($O256=Consulta!$B$6,2,-1))+IF(Consulta!$B$7="Não",0,IF($U256="Sim",3,IF($U256="Não",-6,0)))+IF(Consulta!$B$8="Qualquer",0,IF($C256=Consulta!$B$8,2,-3))+IF(Consulta!$B$9="Qualquer",0,IF($D256=Consulta!$B$9,2,-1))+IF($N256="",0,$N256)-ROW()/100000)))))</f>
        <v/>
      </c>
    </row>
    <row r="257" customFormat="false" ht="15" hidden="false" customHeight="false" outlineLevel="0" collapsed="false">
      <c r="A257" s="14"/>
      <c r="B257" s="15"/>
      <c r="C257" s="14"/>
      <c r="D257" s="14"/>
      <c r="E257" s="15"/>
      <c r="F257" s="14"/>
      <c r="G257" s="14"/>
      <c r="H257" s="14"/>
      <c r="I257" s="15"/>
      <c r="J257" s="14"/>
      <c r="K257" s="15"/>
      <c r="L257" s="16"/>
      <c r="M257" s="17"/>
      <c r="N257" s="16"/>
      <c r="O257" s="16"/>
      <c r="P257" s="18"/>
      <c r="Q257" s="16"/>
      <c r="R257" s="18"/>
      <c r="S257" s="16"/>
      <c r="T257" s="16"/>
      <c r="U257" s="16"/>
      <c r="V257" s="16"/>
      <c r="W257" s="16"/>
      <c r="X257" s="16"/>
      <c r="Y257" s="16"/>
      <c r="Z257" s="16"/>
      <c r="AA257" s="18"/>
      <c r="AB257" s="18"/>
      <c r="AC257" s="18"/>
      <c r="AD257" s="18"/>
      <c r="AE257" s="18"/>
      <c r="AF257" s="19" t="str">
        <f aca="false">IF($B257="","",IF(AND(Consulta!$B$11="Sim",$L257&lt;&gt;"Sim"),-9999,IF($H257=Consulta!$B$5,-9999,IF(AND(Consulta!$B$3&lt;&gt;"Qualquer",ISNUMBER(SEARCH(Consulta!$B$3,$AA257))),-9999,IF(AND(Consulta!$B$10="Sim",$V257&lt;&gt;"Sim"),-9999,IF(OR(Consulta!$B$3="Qualquer",ISNUMBER(SEARCH(Consulta!$B$3,$P257))),3,0)+IF(OR(Consulta!$B$12="Qualquer",ISNUMBER(SEARCH(Consulta!$B$12,$Q257))),2,0)+IF(OR(Consulta!$B$4="Qualquer",ISNUMBER(SEARCH(Consulta!$B$4,$R257))),3,0)+IF(Consulta!$B$6="Qualquer",0,IF($O257=Consulta!$B$6,2,-1))+IF(Consulta!$B$7="Não",0,IF($U257="Sim",3,IF($U257="Não",-6,0)))+IF(Consulta!$B$8="Qualquer",0,IF($C257=Consulta!$B$8,2,-3))+IF(Consulta!$B$9="Qualquer",0,IF($D257=Consulta!$B$9,2,-1))+IF($N257="",0,$N257)-ROW()/100000)))))</f>
        <v/>
      </c>
    </row>
    <row r="258" customFormat="false" ht="15" hidden="false" customHeight="false" outlineLevel="0" collapsed="false">
      <c r="A258" s="14"/>
      <c r="B258" s="15"/>
      <c r="C258" s="14"/>
      <c r="D258" s="14"/>
      <c r="E258" s="15"/>
      <c r="F258" s="14"/>
      <c r="G258" s="14"/>
      <c r="H258" s="14"/>
      <c r="I258" s="15"/>
      <c r="J258" s="14"/>
      <c r="K258" s="15"/>
      <c r="L258" s="16"/>
      <c r="M258" s="17"/>
      <c r="N258" s="16"/>
      <c r="O258" s="16"/>
      <c r="P258" s="18"/>
      <c r="Q258" s="16"/>
      <c r="R258" s="18"/>
      <c r="S258" s="16"/>
      <c r="T258" s="16"/>
      <c r="U258" s="16"/>
      <c r="V258" s="16"/>
      <c r="W258" s="16"/>
      <c r="X258" s="16"/>
      <c r="Y258" s="16"/>
      <c r="Z258" s="16"/>
      <c r="AA258" s="18"/>
      <c r="AB258" s="18"/>
      <c r="AC258" s="18"/>
      <c r="AD258" s="18"/>
      <c r="AE258" s="18"/>
      <c r="AF258" s="19" t="str">
        <f aca="false">IF($B258="","",IF(AND(Consulta!$B$11="Sim",$L258&lt;&gt;"Sim"),-9999,IF($H258=Consulta!$B$5,-9999,IF(AND(Consulta!$B$3&lt;&gt;"Qualquer",ISNUMBER(SEARCH(Consulta!$B$3,$AA258))),-9999,IF(AND(Consulta!$B$10="Sim",$V258&lt;&gt;"Sim"),-9999,IF(OR(Consulta!$B$3="Qualquer",ISNUMBER(SEARCH(Consulta!$B$3,$P258))),3,0)+IF(OR(Consulta!$B$12="Qualquer",ISNUMBER(SEARCH(Consulta!$B$12,$Q258))),2,0)+IF(OR(Consulta!$B$4="Qualquer",ISNUMBER(SEARCH(Consulta!$B$4,$R258))),3,0)+IF(Consulta!$B$6="Qualquer",0,IF($O258=Consulta!$B$6,2,-1))+IF(Consulta!$B$7="Não",0,IF($U258="Sim",3,IF($U258="Não",-6,0)))+IF(Consulta!$B$8="Qualquer",0,IF($C258=Consulta!$B$8,2,-3))+IF(Consulta!$B$9="Qualquer",0,IF($D258=Consulta!$B$9,2,-1))+IF($N258="",0,$N258)-ROW()/100000)))))</f>
        <v/>
      </c>
    </row>
    <row r="259" customFormat="false" ht="15" hidden="false" customHeight="false" outlineLevel="0" collapsed="false">
      <c r="A259" s="14"/>
      <c r="B259" s="15"/>
      <c r="C259" s="14"/>
      <c r="D259" s="14"/>
      <c r="E259" s="15"/>
      <c r="F259" s="14"/>
      <c r="G259" s="14"/>
      <c r="H259" s="14"/>
      <c r="I259" s="15"/>
      <c r="J259" s="14"/>
      <c r="K259" s="15"/>
      <c r="L259" s="16"/>
      <c r="M259" s="17"/>
      <c r="N259" s="16"/>
      <c r="O259" s="16"/>
      <c r="P259" s="18"/>
      <c r="Q259" s="16"/>
      <c r="R259" s="18"/>
      <c r="S259" s="16"/>
      <c r="T259" s="16"/>
      <c r="U259" s="16"/>
      <c r="V259" s="16"/>
      <c r="W259" s="16"/>
      <c r="X259" s="16"/>
      <c r="Y259" s="16"/>
      <c r="Z259" s="16"/>
      <c r="AA259" s="18"/>
      <c r="AB259" s="18"/>
      <c r="AC259" s="18"/>
      <c r="AD259" s="18"/>
      <c r="AE259" s="18"/>
      <c r="AF259" s="19" t="str">
        <f aca="false">IF($B259="","",IF(AND(Consulta!$B$11="Sim",$L259&lt;&gt;"Sim"),-9999,IF($H259=Consulta!$B$5,-9999,IF(AND(Consulta!$B$3&lt;&gt;"Qualquer",ISNUMBER(SEARCH(Consulta!$B$3,$AA259))),-9999,IF(AND(Consulta!$B$10="Sim",$V259&lt;&gt;"Sim"),-9999,IF(OR(Consulta!$B$3="Qualquer",ISNUMBER(SEARCH(Consulta!$B$3,$P259))),3,0)+IF(OR(Consulta!$B$12="Qualquer",ISNUMBER(SEARCH(Consulta!$B$12,$Q259))),2,0)+IF(OR(Consulta!$B$4="Qualquer",ISNUMBER(SEARCH(Consulta!$B$4,$R259))),3,0)+IF(Consulta!$B$6="Qualquer",0,IF($O259=Consulta!$B$6,2,-1))+IF(Consulta!$B$7="Não",0,IF($U259="Sim",3,IF($U259="Não",-6,0)))+IF(Consulta!$B$8="Qualquer",0,IF($C259=Consulta!$B$8,2,-3))+IF(Consulta!$B$9="Qualquer",0,IF($D259=Consulta!$B$9,2,-1))+IF($N259="",0,$N259)-ROW()/100000)))))</f>
        <v/>
      </c>
    </row>
    <row r="260" customFormat="false" ht="15" hidden="false" customHeight="false" outlineLevel="0" collapsed="false">
      <c r="A260" s="14"/>
      <c r="B260" s="15"/>
      <c r="C260" s="14"/>
      <c r="D260" s="14"/>
      <c r="E260" s="15"/>
      <c r="F260" s="14"/>
      <c r="G260" s="14"/>
      <c r="H260" s="14"/>
      <c r="I260" s="15"/>
      <c r="J260" s="14"/>
      <c r="K260" s="15"/>
      <c r="L260" s="16"/>
      <c r="M260" s="17"/>
      <c r="N260" s="16"/>
      <c r="O260" s="16"/>
      <c r="P260" s="18"/>
      <c r="Q260" s="16"/>
      <c r="R260" s="18"/>
      <c r="S260" s="16"/>
      <c r="T260" s="16"/>
      <c r="U260" s="16"/>
      <c r="V260" s="16"/>
      <c r="W260" s="16"/>
      <c r="X260" s="16"/>
      <c r="Y260" s="16"/>
      <c r="Z260" s="16"/>
      <c r="AA260" s="18"/>
      <c r="AB260" s="18"/>
      <c r="AC260" s="18"/>
      <c r="AD260" s="18"/>
      <c r="AE260" s="18"/>
      <c r="AF260" s="19" t="str">
        <f aca="false">IF($B260="","",IF(AND(Consulta!$B$11="Sim",$L260&lt;&gt;"Sim"),-9999,IF($H260=Consulta!$B$5,-9999,IF(AND(Consulta!$B$3&lt;&gt;"Qualquer",ISNUMBER(SEARCH(Consulta!$B$3,$AA260))),-9999,IF(AND(Consulta!$B$10="Sim",$V260&lt;&gt;"Sim"),-9999,IF(OR(Consulta!$B$3="Qualquer",ISNUMBER(SEARCH(Consulta!$B$3,$P260))),3,0)+IF(OR(Consulta!$B$12="Qualquer",ISNUMBER(SEARCH(Consulta!$B$12,$Q260))),2,0)+IF(OR(Consulta!$B$4="Qualquer",ISNUMBER(SEARCH(Consulta!$B$4,$R260))),3,0)+IF(Consulta!$B$6="Qualquer",0,IF($O260=Consulta!$B$6,2,-1))+IF(Consulta!$B$7="Não",0,IF($U260="Sim",3,IF($U260="Não",-6,0)))+IF(Consulta!$B$8="Qualquer",0,IF($C260=Consulta!$B$8,2,-3))+IF(Consulta!$B$9="Qualquer",0,IF($D260=Consulta!$B$9,2,-1))+IF($N260="",0,$N260)-ROW()/100000)))))</f>
        <v/>
      </c>
    </row>
  </sheetData>
  <autoFilter ref="A1:AE260"/>
  <conditionalFormatting sqref="N2:N260">
    <cfRule type="cellIs" priority="2" operator="greaterThanOrEqual" aboveAverage="0" equalAverage="0" bottom="0" percent="0" rank="0" text="" dxfId="5">
      <formula>4</formula>
    </cfRule>
  </conditionalFormatting>
  <dataValidations count="15">
    <dataValidation allowBlank="true" error="Escolha um valor da lista." errorStyle="stop" errorTitle="Valor fora da lista" operator="between" showDropDown="false" showErrorMessage="false" showInputMessage="false" sqref="C2:C260" type="list">
      <formula1>Listas!$A$2:$A$18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D2:D260" type="list">
      <formula1>Listas!$B$2:$B$27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H2:H260" type="list">
      <formula1>Listas!$C$2:$C$11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J2:J260" type="list">
      <formula1>Listas!$D$2:$D$5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L2:L260" type="list">
      <formula1>Listas!$E$2:$E$3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N2:N260" type="list">
      <formula1>Listas!$G$2:$G$6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O2:O260" type="list">
      <formula1>Listas!$H$2:$H$6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S2:S260" type="list">
      <formula1>Listas!$I$2:$I$5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T2:T260" type="list">
      <formula1>Listas!$J$2:$J$6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U2:U260" type="list">
      <formula1>Listas!$F$2:$F$4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V2:V260" type="list">
      <formula1>Listas!$F$2:$F$4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W2:W260" type="list">
      <formula1>Listas!$F$2:$F$4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X2:X260" type="list">
      <formula1>Listas!$F$2:$F$4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Y2:Y260" type="list">
      <formula1>Listas!$K$2:$K$5</formula1>
      <formula2>0</formula2>
    </dataValidation>
    <dataValidation allowBlank="true" error="Escolha um valor da lista." errorStyle="stop" errorTitle="Valor fora da lista" operator="between" showDropDown="false" showErrorMessage="false" showInputMessage="false" sqref="Z2:Z260" type="list">
      <formula1>Listas!$L$2:$L$6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713</v>
      </c>
    </row>
    <row r="3" customFormat="false" ht="15" hidden="false" customHeight="false" outlineLevel="0" collapsed="false">
      <c r="A3" s="8" t="s">
        <v>184</v>
      </c>
      <c r="B3" s="8" t="s">
        <v>714</v>
      </c>
      <c r="C3" s="8" t="s">
        <v>715</v>
      </c>
      <c r="D3" s="8" t="s">
        <v>716</v>
      </c>
      <c r="E3" s="8" t="s">
        <v>717</v>
      </c>
      <c r="F3" s="8" t="s">
        <v>718</v>
      </c>
    </row>
    <row r="4" customFormat="false" ht="15" hidden="false" customHeight="false" outlineLevel="0" collapsed="false">
      <c r="A4" s="20" t="n">
        <v>1</v>
      </c>
      <c r="B4" s="20" t="s">
        <v>144</v>
      </c>
      <c r="C4" s="20" t="n">
        <f aca="false">COUNTIF(Fichas!$A$2:$A$260,$A4)</f>
        <v>15</v>
      </c>
      <c r="D4" s="20" t="n">
        <f aca="false">COUNTIFS(Fichas!$A$2:$A$260,$A4,Fichas!$L$2:$L$260,"Sim")</f>
        <v>0</v>
      </c>
      <c r="E4" s="20" t="n">
        <f aca="false">C4-D4</f>
        <v>15</v>
      </c>
      <c r="F4" s="21" t="n">
        <f aca="false">IFERROR(D4/C4,0)</f>
        <v>0</v>
      </c>
    </row>
    <row r="5" customFormat="false" ht="15" hidden="false" customHeight="false" outlineLevel="0" collapsed="false">
      <c r="A5" s="20" t="n">
        <v>2</v>
      </c>
      <c r="B5" s="20" t="s">
        <v>112</v>
      </c>
      <c r="C5" s="20" t="n">
        <f aca="false">COUNTIF(Fichas!$A$2:$A$260,$A5)</f>
        <v>10</v>
      </c>
      <c r="D5" s="20" t="n">
        <f aca="false">COUNTIFS(Fichas!$A$2:$A$260,$A5,Fichas!$L$2:$L$260,"Sim")</f>
        <v>0</v>
      </c>
      <c r="E5" s="20" t="n">
        <f aca="false">C5-D5</f>
        <v>10</v>
      </c>
      <c r="F5" s="21" t="n">
        <f aca="false">IFERROR(D5/C5,0)</f>
        <v>0</v>
      </c>
    </row>
    <row r="6" customFormat="false" ht="15" hidden="false" customHeight="false" outlineLevel="0" collapsed="false">
      <c r="A6" s="20" t="n">
        <v>3</v>
      </c>
      <c r="B6" s="20" t="s">
        <v>719</v>
      </c>
      <c r="C6" s="20" t="n">
        <f aca="false">COUNTIF(Fichas!$A$2:$A$260,$A6)</f>
        <v>8</v>
      </c>
      <c r="D6" s="20" t="n">
        <f aca="false">COUNTIFS(Fichas!$A$2:$A$260,$A6,Fichas!$L$2:$L$260,"Sim")</f>
        <v>0</v>
      </c>
      <c r="E6" s="20" t="n">
        <f aca="false">C6-D6</f>
        <v>8</v>
      </c>
      <c r="F6" s="21" t="n">
        <f aca="false">IFERROR(D6/C6,0)</f>
        <v>0</v>
      </c>
    </row>
    <row r="7" customFormat="false" ht="15" hidden="false" customHeight="false" outlineLevel="0" collapsed="false">
      <c r="A7" s="20" t="n">
        <v>4</v>
      </c>
      <c r="B7" s="20" t="s">
        <v>720</v>
      </c>
      <c r="C7" s="20" t="n">
        <f aca="false">COUNTIF(Fichas!$A$2:$A$260,$A7)</f>
        <v>12</v>
      </c>
      <c r="D7" s="20" t="n">
        <f aca="false">COUNTIFS(Fichas!$A$2:$A$260,$A7,Fichas!$L$2:$L$260,"Sim")</f>
        <v>0</v>
      </c>
      <c r="E7" s="20" t="n">
        <f aca="false">C7-D7</f>
        <v>12</v>
      </c>
      <c r="F7" s="21" t="n">
        <f aca="false">IFERROR(D7/C7,0)</f>
        <v>0</v>
      </c>
    </row>
    <row r="8" customFormat="false" ht="15" hidden="false" customHeight="false" outlineLevel="0" collapsed="false">
      <c r="A8" s="20" t="n">
        <v>5</v>
      </c>
      <c r="B8" s="20" t="s">
        <v>721</v>
      </c>
      <c r="C8" s="20" t="n">
        <f aca="false">COUNTIF(Fichas!$A$2:$A$260,$A8)</f>
        <v>10</v>
      </c>
      <c r="D8" s="20" t="n">
        <f aca="false">COUNTIFS(Fichas!$A$2:$A$260,$A8,Fichas!$L$2:$L$260,"Sim")</f>
        <v>0</v>
      </c>
      <c r="E8" s="20" t="n">
        <f aca="false">C8-D8</f>
        <v>10</v>
      </c>
      <c r="F8" s="21" t="n">
        <f aca="false">IFERROR(D8/C8,0)</f>
        <v>0</v>
      </c>
    </row>
    <row r="9" customFormat="false" ht="15" hidden="false" customHeight="false" outlineLevel="0" collapsed="false">
      <c r="A9" s="20" t="n">
        <v>6</v>
      </c>
      <c r="B9" s="20" t="s">
        <v>722</v>
      </c>
      <c r="C9" s="20" t="n">
        <f aca="false">COUNTIF(Fichas!$A$2:$A$260,$A9)</f>
        <v>8</v>
      </c>
      <c r="D9" s="20" t="n">
        <f aca="false">COUNTIFS(Fichas!$A$2:$A$260,$A9,Fichas!$L$2:$L$260,"Sim")</f>
        <v>0</v>
      </c>
      <c r="E9" s="20" t="n">
        <f aca="false">C9-D9</f>
        <v>8</v>
      </c>
      <c r="F9" s="21" t="n">
        <f aca="false">IFERROR(D9/C9,0)</f>
        <v>0</v>
      </c>
    </row>
    <row r="10" customFormat="false" ht="15" hidden="false" customHeight="false" outlineLevel="0" collapsed="false">
      <c r="A10" s="20" t="n">
        <v>7</v>
      </c>
      <c r="B10" s="20" t="s">
        <v>174</v>
      </c>
      <c r="C10" s="20" t="n">
        <f aca="false">COUNTIF(Fichas!$A$2:$A$260,$A10)</f>
        <v>12</v>
      </c>
      <c r="D10" s="20" t="n">
        <f aca="false">COUNTIFS(Fichas!$A$2:$A$260,$A10,Fichas!$L$2:$L$260,"Sim")</f>
        <v>0</v>
      </c>
      <c r="E10" s="20" t="n">
        <f aca="false">C10-D10</f>
        <v>12</v>
      </c>
      <c r="F10" s="21" t="n">
        <f aca="false">IFERROR(D10/C10,0)</f>
        <v>0</v>
      </c>
    </row>
    <row r="11" customFormat="false" ht="15" hidden="false" customHeight="false" outlineLevel="0" collapsed="false">
      <c r="A11" s="20" t="n">
        <v>8</v>
      </c>
      <c r="B11" s="20" t="s">
        <v>723</v>
      </c>
      <c r="C11" s="20" t="n">
        <f aca="false">COUNTIF(Fichas!$A$2:$A$260,$A11)</f>
        <v>9</v>
      </c>
      <c r="D11" s="20" t="n">
        <f aca="false">COUNTIFS(Fichas!$A$2:$A$260,$A11,Fichas!$L$2:$L$260,"Sim")</f>
        <v>0</v>
      </c>
      <c r="E11" s="20" t="n">
        <f aca="false">C11-D11</f>
        <v>9</v>
      </c>
      <c r="F11" s="21" t="n">
        <f aca="false">IFERROR(D11/C11,0)</f>
        <v>0</v>
      </c>
    </row>
    <row r="12" customFormat="false" ht="15" hidden="false" customHeight="false" outlineLevel="0" collapsed="false">
      <c r="A12" s="20" t="n">
        <v>9</v>
      </c>
      <c r="B12" s="20" t="s">
        <v>724</v>
      </c>
      <c r="C12" s="20" t="n">
        <f aca="false">COUNTIF(Fichas!$A$2:$A$260,$A12)</f>
        <v>10</v>
      </c>
      <c r="D12" s="20" t="n">
        <f aca="false">COUNTIFS(Fichas!$A$2:$A$260,$A12,Fichas!$L$2:$L$260,"Sim")</f>
        <v>0</v>
      </c>
      <c r="E12" s="20" t="n">
        <f aca="false">C12-D12</f>
        <v>10</v>
      </c>
      <c r="F12" s="21" t="n">
        <f aca="false">IFERROR(D12/C12,0)</f>
        <v>0</v>
      </c>
    </row>
    <row r="13" customFormat="false" ht="15" hidden="false" customHeight="false" outlineLevel="0" collapsed="false">
      <c r="A13" s="20" t="n">
        <v>10</v>
      </c>
      <c r="B13" s="20" t="s">
        <v>166</v>
      </c>
      <c r="C13" s="20" t="n">
        <f aca="false">COUNTIF(Fichas!$A$2:$A$260,$A13)</f>
        <v>8</v>
      </c>
      <c r="D13" s="20" t="n">
        <f aca="false">COUNTIFS(Fichas!$A$2:$A$260,$A13,Fichas!$L$2:$L$260,"Sim")</f>
        <v>0</v>
      </c>
      <c r="E13" s="20" t="n">
        <f aca="false">C13-D13</f>
        <v>8</v>
      </c>
      <c r="F13" s="21" t="n">
        <f aca="false">IFERROR(D13/C13,0)</f>
        <v>0</v>
      </c>
    </row>
    <row r="14" customFormat="false" ht="15" hidden="false" customHeight="false" outlineLevel="0" collapsed="false">
      <c r="A14" s="20" t="n">
        <v>11</v>
      </c>
      <c r="B14" s="20" t="s">
        <v>725</v>
      </c>
      <c r="C14" s="20" t="n">
        <f aca="false">COUNTIF(Fichas!$A$2:$A$260,$A14)</f>
        <v>7</v>
      </c>
      <c r="D14" s="20" t="n">
        <f aca="false">COUNTIFS(Fichas!$A$2:$A$260,$A14,Fichas!$L$2:$L$260,"Sim")</f>
        <v>0</v>
      </c>
      <c r="E14" s="20" t="n">
        <f aca="false">C14-D14</f>
        <v>7</v>
      </c>
      <c r="F14" s="21" t="n">
        <f aca="false">IFERROR(D14/C14,0)</f>
        <v>0</v>
      </c>
    </row>
    <row r="15" customFormat="false" ht="15" hidden="false" customHeight="false" outlineLevel="0" collapsed="false">
      <c r="A15" s="20" t="n">
        <v>12</v>
      </c>
      <c r="B15" s="20" t="s">
        <v>726</v>
      </c>
      <c r="C15" s="20" t="n">
        <f aca="false">COUNTIF(Fichas!$A$2:$A$260,$A15)</f>
        <v>10</v>
      </c>
      <c r="D15" s="20" t="n">
        <f aca="false">COUNTIFS(Fichas!$A$2:$A$260,$A15,Fichas!$L$2:$L$260,"Sim")</f>
        <v>0</v>
      </c>
      <c r="E15" s="20" t="n">
        <f aca="false">C15-D15</f>
        <v>10</v>
      </c>
      <c r="F15" s="21" t="n">
        <f aca="false">IFERROR(D15/C15,0)</f>
        <v>0</v>
      </c>
    </row>
    <row r="16" customFormat="false" ht="15" hidden="false" customHeight="false" outlineLevel="0" collapsed="false">
      <c r="A16" s="20" t="n">
        <v>13</v>
      </c>
      <c r="B16" s="20" t="s">
        <v>727</v>
      </c>
      <c r="C16" s="20" t="n">
        <f aca="false">COUNTIF(Fichas!$A$2:$A$260,$A16)</f>
        <v>20</v>
      </c>
      <c r="D16" s="20" t="n">
        <f aca="false">COUNTIFS(Fichas!$A$2:$A$260,$A16,Fichas!$L$2:$L$260,"Sim")</f>
        <v>0</v>
      </c>
      <c r="E16" s="20" t="n">
        <f aca="false">C16-D16</f>
        <v>20</v>
      </c>
      <c r="F16" s="21" t="n">
        <f aca="false">IFERROR(D16/C16,0)</f>
        <v>0</v>
      </c>
    </row>
    <row r="17" customFormat="false" ht="15" hidden="false" customHeight="false" outlineLevel="0" collapsed="false">
      <c r="A17" s="20" t="n">
        <v>14</v>
      </c>
      <c r="B17" s="20" t="s">
        <v>728</v>
      </c>
      <c r="C17" s="20" t="n">
        <f aca="false">COUNTIF(Fichas!$A$2:$A$260,$A17)</f>
        <v>8</v>
      </c>
      <c r="D17" s="20" t="n">
        <f aca="false">COUNTIFS(Fichas!$A$2:$A$260,$A17,Fichas!$L$2:$L$260,"Sim")</f>
        <v>0</v>
      </c>
      <c r="E17" s="20" t="n">
        <f aca="false">C17-D17</f>
        <v>8</v>
      </c>
      <c r="F17" s="21" t="n">
        <f aca="false">IFERROR(D17/C17,0)</f>
        <v>0</v>
      </c>
    </row>
    <row r="18" customFormat="false" ht="15" hidden="false" customHeight="false" outlineLevel="0" collapsed="false">
      <c r="A18" s="20" t="n">
        <v>15</v>
      </c>
      <c r="B18" s="20" t="s">
        <v>729</v>
      </c>
      <c r="C18" s="20" t="n">
        <f aca="false">COUNTIF(Fichas!$A$2:$A$260,$A18)</f>
        <v>16</v>
      </c>
      <c r="D18" s="20" t="n">
        <f aca="false">COUNTIFS(Fichas!$A$2:$A$260,$A18,Fichas!$L$2:$L$260,"Sim")</f>
        <v>0</v>
      </c>
      <c r="E18" s="20" t="n">
        <f aca="false">C18-D18</f>
        <v>16</v>
      </c>
      <c r="F18" s="21" t="n">
        <f aca="false">IFERROR(D18/C18,0)</f>
        <v>0</v>
      </c>
    </row>
    <row r="19" customFormat="false" ht="15" hidden="false" customHeight="false" outlineLevel="0" collapsed="false">
      <c r="B19" s="5" t="s">
        <v>730</v>
      </c>
      <c r="C19" s="5" t="n">
        <f aca="false">SUM(C4:C18)</f>
        <v>163</v>
      </c>
      <c r="D19" s="5" t="n">
        <f aca="false">SUM(D4:D18)</f>
        <v>0</v>
      </c>
      <c r="E19" s="5" t="n">
        <f aca="false">C19-D19</f>
        <v>163</v>
      </c>
      <c r="F19" s="22" t="n">
        <f aca="false">IFERROR(D19/C19,0)</f>
        <v>0</v>
      </c>
    </row>
    <row r="21" customFormat="false" ht="15" hidden="false" customHeight="false" outlineLevel="0" collapsed="false">
      <c r="A21" s="5" t="s">
        <v>731</v>
      </c>
      <c r="D21" s="4" t="n">
        <f aca="false">COUNTIF(Fichas!$N$2:$N$260,"&gt;0")</f>
        <v>0</v>
      </c>
    </row>
    <row r="22" customFormat="false" ht="15" hidden="false" customHeight="false" outlineLevel="0" collapsed="false">
      <c r="A22" s="5" t="s">
        <v>732</v>
      </c>
      <c r="D22" s="4" t="n">
        <f aca="false">COUNTIF(Fichas!$V$2:$V$260,"Sim")</f>
        <v>0</v>
      </c>
    </row>
    <row r="23" customFormat="false" ht="15" hidden="false" customHeight="false" outlineLevel="0" collapsed="false">
      <c r="A23" s="5" t="s">
        <v>733</v>
      </c>
      <c r="D23" s="4" t="n">
        <f aca="false">COUNTIF(Fichas!$W$2:$W$260,"Sim")</f>
        <v>0</v>
      </c>
    </row>
    <row r="24" customFormat="false" ht="15" hidden="false" customHeight="false" outlineLevel="0" collapsed="false">
      <c r="A24" s="0" t="s">
        <v>734</v>
      </c>
      <c r="D24" s="0" t="n">
        <f aca="false">COUNTIF(Fichas!$U$2:$U$260,"Sim")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2026-09-20T10:12:37Z</dcterms:created>
  <dc:creator>openpyxl</dc:creator>
  <dc:description/>
  <dc:language>en-US</dc:language>
  <cp:lastModifiedBy/>
  <dcterms:modified xsi:type="dcterms:W3CDTF">2026-09-20T10:12:37Z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